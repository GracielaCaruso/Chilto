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54a63f0800a1305/Documents/CV documentación/"/>
    </mc:Choice>
  </mc:AlternateContent>
  <xr:revisionPtr revIDLastSave="208" documentId="11_8DA00E7C10A0D41A89DF3D56D02528E350C007A6" xr6:coauthVersionLast="47" xr6:coauthVersionMax="47" xr10:uidLastSave="{80D8C0E8-77A0-43F2-9D7F-8EE0E665D3D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Y">Tabla1[#All]</definedName>
    <definedName name="Tabla">Sheet1!$1:$1048576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6" i="1" l="1"/>
  <c r="AV22" i="1"/>
  <c r="AW2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AD2" i="1"/>
  <c r="Z2" i="1"/>
  <c r="V2" i="1"/>
  <c r="AI2" i="1"/>
  <c r="AE3" i="1"/>
  <c r="AF3" i="1"/>
  <c r="AG3" i="1"/>
  <c r="AH3" i="1"/>
  <c r="AU3" i="1" s="1"/>
  <c r="AI3" i="1"/>
  <c r="AV3" i="1" s="1"/>
  <c r="AJ3" i="1"/>
  <c r="AW3" i="1" s="1"/>
  <c r="AK3" i="1"/>
  <c r="AL3" i="1"/>
  <c r="AM3" i="1"/>
  <c r="AE4" i="1"/>
  <c r="AF4" i="1"/>
  <c r="AG4" i="1"/>
  <c r="AH4" i="1"/>
  <c r="AU4" i="1" s="1"/>
  <c r="AI4" i="1"/>
  <c r="AV4" i="1" s="1"/>
  <c r="AJ4" i="1"/>
  <c r="AW4" i="1" s="1"/>
  <c r="AK4" i="1"/>
  <c r="AL4" i="1"/>
  <c r="AM4" i="1"/>
  <c r="AE5" i="1"/>
  <c r="AF5" i="1"/>
  <c r="AG5" i="1"/>
  <c r="AH5" i="1"/>
  <c r="AU5" i="1" s="1"/>
  <c r="AI5" i="1"/>
  <c r="AJ5" i="1"/>
  <c r="AK5" i="1"/>
  <c r="AL5" i="1"/>
  <c r="AM5" i="1"/>
  <c r="AE6" i="1"/>
  <c r="AF6" i="1"/>
  <c r="AG6" i="1"/>
  <c r="AS6" i="1" s="1"/>
  <c r="AH6" i="1"/>
  <c r="AU6" i="1" s="1"/>
  <c r="AI6" i="1"/>
  <c r="AJ6" i="1"/>
  <c r="AK6" i="1"/>
  <c r="AL6" i="1"/>
  <c r="AM6" i="1"/>
  <c r="AE7" i="1"/>
  <c r="AF7" i="1"/>
  <c r="AR7" i="1" s="1"/>
  <c r="AG7" i="1"/>
  <c r="AW7" i="1" s="1"/>
  <c r="AH7" i="1"/>
  <c r="AI7" i="1"/>
  <c r="AJ7" i="1"/>
  <c r="AK7" i="1"/>
  <c r="AL7" i="1"/>
  <c r="AM7" i="1"/>
  <c r="AE8" i="1"/>
  <c r="AQ8" i="1" s="1"/>
  <c r="AF8" i="1"/>
  <c r="AG8" i="1"/>
  <c r="AH8" i="1"/>
  <c r="AI8" i="1"/>
  <c r="AJ8" i="1"/>
  <c r="AK8" i="1"/>
  <c r="AL8" i="1"/>
  <c r="AM8" i="1"/>
  <c r="AE9" i="1"/>
  <c r="AF9" i="1"/>
  <c r="AG9" i="1"/>
  <c r="AH9" i="1"/>
  <c r="AU9" i="1" s="1"/>
  <c r="AI9" i="1"/>
  <c r="AJ9" i="1"/>
  <c r="AW9" i="1" s="1"/>
  <c r="AK9" i="1"/>
  <c r="AL9" i="1"/>
  <c r="AM9" i="1"/>
  <c r="AE10" i="1"/>
  <c r="AF10" i="1"/>
  <c r="AG10" i="1"/>
  <c r="AH10" i="1"/>
  <c r="AI10" i="1"/>
  <c r="AV10" i="1" s="1"/>
  <c r="AJ10" i="1"/>
  <c r="AW10" i="1" s="1"/>
  <c r="AK10" i="1"/>
  <c r="AL10" i="1"/>
  <c r="AM10" i="1"/>
  <c r="AE11" i="1"/>
  <c r="AF11" i="1"/>
  <c r="AG11" i="1"/>
  <c r="AH11" i="1"/>
  <c r="AU11" i="1" s="1"/>
  <c r="AI11" i="1"/>
  <c r="AV11" i="1" s="1"/>
  <c r="AJ11" i="1"/>
  <c r="AW11" i="1" s="1"/>
  <c r="AK11" i="1"/>
  <c r="AL11" i="1"/>
  <c r="AM11" i="1"/>
  <c r="AE12" i="1"/>
  <c r="AF12" i="1"/>
  <c r="AG12" i="1"/>
  <c r="AH12" i="1"/>
  <c r="AU12" i="1" s="1"/>
  <c r="AI12" i="1"/>
  <c r="AV12" i="1" s="1"/>
  <c r="AJ12" i="1"/>
  <c r="AW12" i="1" s="1"/>
  <c r="AK12" i="1"/>
  <c r="AL12" i="1"/>
  <c r="AM12" i="1"/>
  <c r="AE13" i="1"/>
  <c r="AF13" i="1"/>
  <c r="AG13" i="1"/>
  <c r="AH13" i="1"/>
  <c r="AU13" i="1" s="1"/>
  <c r="AI13" i="1"/>
  <c r="AV13" i="1" s="1"/>
  <c r="AJ13" i="1"/>
  <c r="AW13" i="1" s="1"/>
  <c r="AK13" i="1"/>
  <c r="AL13" i="1"/>
  <c r="AM13" i="1"/>
  <c r="AE14" i="1"/>
  <c r="AF14" i="1"/>
  <c r="AG14" i="1"/>
  <c r="AS14" i="1" s="1"/>
  <c r="AH14" i="1"/>
  <c r="AU14" i="1" s="1"/>
  <c r="AI14" i="1"/>
  <c r="AJ14" i="1"/>
  <c r="AK14" i="1"/>
  <c r="AL14" i="1"/>
  <c r="AM14" i="1"/>
  <c r="AE15" i="1"/>
  <c r="AF15" i="1"/>
  <c r="AR15" i="1" s="1"/>
  <c r="AG15" i="1"/>
  <c r="AH15" i="1"/>
  <c r="AU15" i="1" s="1"/>
  <c r="AI15" i="1"/>
  <c r="AJ15" i="1"/>
  <c r="AK15" i="1"/>
  <c r="AL15" i="1"/>
  <c r="AM15" i="1"/>
  <c r="AE16" i="1"/>
  <c r="AQ16" i="1" s="1"/>
  <c r="AF16" i="1"/>
  <c r="AG16" i="1"/>
  <c r="AH16" i="1"/>
  <c r="AI16" i="1"/>
  <c r="AJ16" i="1"/>
  <c r="AK16" i="1"/>
  <c r="AL16" i="1"/>
  <c r="AM16" i="1"/>
  <c r="AE17" i="1"/>
  <c r="AF17" i="1"/>
  <c r="AG17" i="1"/>
  <c r="AH17" i="1"/>
  <c r="AI17" i="1"/>
  <c r="AJ17" i="1"/>
  <c r="AW17" i="1" s="1"/>
  <c r="AK17" i="1"/>
  <c r="AL17" i="1"/>
  <c r="AM17" i="1"/>
  <c r="AE18" i="1"/>
  <c r="AF18" i="1"/>
  <c r="AG18" i="1"/>
  <c r="AH18" i="1"/>
  <c r="AI18" i="1"/>
  <c r="AV18" i="1" s="1"/>
  <c r="AJ18" i="1"/>
  <c r="AW18" i="1" s="1"/>
  <c r="AK18" i="1"/>
  <c r="AL18" i="1"/>
  <c r="AM18" i="1"/>
  <c r="AE19" i="1"/>
  <c r="AF19" i="1"/>
  <c r="AG19" i="1"/>
  <c r="AH19" i="1"/>
  <c r="AU19" i="1" s="1"/>
  <c r="AI19" i="1"/>
  <c r="AV19" i="1" s="1"/>
  <c r="AJ19" i="1"/>
  <c r="AW19" i="1" s="1"/>
  <c r="AK19" i="1"/>
  <c r="AL19" i="1"/>
  <c r="AM19" i="1"/>
  <c r="AE20" i="1"/>
  <c r="AF20" i="1"/>
  <c r="AG20" i="1"/>
  <c r="AH20" i="1"/>
  <c r="AU20" i="1" s="1"/>
  <c r="AI20" i="1"/>
  <c r="AV20" i="1" s="1"/>
  <c r="AJ20" i="1"/>
  <c r="AW20" i="1" s="1"/>
  <c r="AK20" i="1"/>
  <c r="AL20" i="1"/>
  <c r="AM20" i="1"/>
  <c r="AE21" i="1"/>
  <c r="AF21" i="1"/>
  <c r="AG21" i="1"/>
  <c r="AH21" i="1"/>
  <c r="AU21" i="1" s="1"/>
  <c r="AI21" i="1"/>
  <c r="AV21" i="1" s="1"/>
  <c r="AJ21" i="1"/>
  <c r="AW21" i="1" s="1"/>
  <c r="AK21" i="1"/>
  <c r="AL21" i="1"/>
  <c r="AM21" i="1"/>
  <c r="AE22" i="1"/>
  <c r="AF22" i="1"/>
  <c r="AG22" i="1"/>
  <c r="AS22" i="1" s="1"/>
  <c r="AH22" i="1"/>
  <c r="AU22" i="1" s="1"/>
  <c r="AI22" i="1"/>
  <c r="AJ22" i="1"/>
  <c r="AK22" i="1"/>
  <c r="AL22" i="1"/>
  <c r="AM22" i="1"/>
  <c r="AE23" i="1"/>
  <c r="AF23" i="1"/>
  <c r="AR23" i="1" s="1"/>
  <c r="AG23" i="1"/>
  <c r="AH23" i="1"/>
  <c r="AU23" i="1" s="1"/>
  <c r="AI23" i="1"/>
  <c r="AJ23" i="1"/>
  <c r="AK23" i="1"/>
  <c r="AL23" i="1"/>
  <c r="AM23" i="1"/>
  <c r="AE24" i="1"/>
  <c r="AQ24" i="1" s="1"/>
  <c r="AF24" i="1"/>
  <c r="AG24" i="1"/>
  <c r="AH24" i="1"/>
  <c r="AI24" i="1"/>
  <c r="AJ24" i="1"/>
  <c r="AK24" i="1"/>
  <c r="AL24" i="1"/>
  <c r="AM24" i="1"/>
  <c r="AE25" i="1"/>
  <c r="AF25" i="1"/>
  <c r="AG25" i="1"/>
  <c r="AH25" i="1"/>
  <c r="AI25" i="1"/>
  <c r="AJ25" i="1"/>
  <c r="AW25" i="1" s="1"/>
  <c r="AK25" i="1"/>
  <c r="AL25" i="1"/>
  <c r="AM25" i="1"/>
  <c r="AE26" i="1"/>
  <c r="AF26" i="1"/>
  <c r="AG26" i="1"/>
  <c r="AH26" i="1"/>
  <c r="AI26" i="1"/>
  <c r="AV26" i="1" s="1"/>
  <c r="AJ26" i="1"/>
  <c r="AW26" i="1" s="1"/>
  <c r="AK26" i="1"/>
  <c r="AL26" i="1"/>
  <c r="AM26" i="1"/>
  <c r="AE27" i="1"/>
  <c r="AF27" i="1"/>
  <c r="AG27" i="1"/>
  <c r="AH27" i="1"/>
  <c r="AU27" i="1" s="1"/>
  <c r="AI27" i="1"/>
  <c r="AV27" i="1" s="1"/>
  <c r="AJ27" i="1"/>
  <c r="AW27" i="1" s="1"/>
  <c r="AK27" i="1"/>
  <c r="AL27" i="1"/>
  <c r="AM27" i="1"/>
  <c r="AE28" i="1"/>
  <c r="AF28" i="1"/>
  <c r="AG28" i="1"/>
  <c r="AH28" i="1"/>
  <c r="AU28" i="1" s="1"/>
  <c r="AI28" i="1"/>
  <c r="AV28" i="1" s="1"/>
  <c r="AJ28" i="1"/>
  <c r="AW28" i="1" s="1"/>
  <c r="AK28" i="1"/>
  <c r="AL28" i="1"/>
  <c r="AM28" i="1"/>
  <c r="AE29" i="1"/>
  <c r="AF29" i="1"/>
  <c r="AG29" i="1"/>
  <c r="AH29" i="1"/>
  <c r="AU29" i="1" s="1"/>
  <c r="AI29" i="1"/>
  <c r="AV29" i="1" s="1"/>
  <c r="AJ29" i="1"/>
  <c r="AW29" i="1" s="1"/>
  <c r="AK29" i="1"/>
  <c r="AL29" i="1"/>
  <c r="AM29" i="1"/>
  <c r="AE30" i="1"/>
  <c r="AF30" i="1"/>
  <c r="AG30" i="1"/>
  <c r="AS30" i="1" s="1"/>
  <c r="AH30" i="1"/>
  <c r="AU30" i="1" s="1"/>
  <c r="AI30" i="1"/>
  <c r="AJ30" i="1"/>
  <c r="AK30" i="1"/>
  <c r="AL30" i="1"/>
  <c r="AM30" i="1"/>
  <c r="AE31" i="1"/>
  <c r="AF31" i="1"/>
  <c r="AR31" i="1" s="1"/>
  <c r="AG31" i="1"/>
  <c r="AH31" i="1"/>
  <c r="AU31" i="1" s="1"/>
  <c r="AI31" i="1"/>
  <c r="AJ31" i="1"/>
  <c r="AK31" i="1"/>
  <c r="AL31" i="1"/>
  <c r="AM31" i="1"/>
  <c r="AE32" i="1"/>
  <c r="AQ32" i="1" s="1"/>
  <c r="AF32" i="1"/>
  <c r="AG32" i="1"/>
  <c r="AH32" i="1"/>
  <c r="AI32" i="1"/>
  <c r="AJ32" i="1"/>
  <c r="AK32" i="1"/>
  <c r="AL32" i="1"/>
  <c r="AM32" i="1"/>
  <c r="AE33" i="1"/>
  <c r="AF33" i="1"/>
  <c r="AG33" i="1"/>
  <c r="AH33" i="1"/>
  <c r="AI33" i="1"/>
  <c r="AJ33" i="1"/>
  <c r="AW33" i="1" s="1"/>
  <c r="AK33" i="1"/>
  <c r="AL33" i="1"/>
  <c r="AM33" i="1"/>
  <c r="AE34" i="1"/>
  <c r="AF34" i="1"/>
  <c r="AG34" i="1"/>
  <c r="AH34" i="1"/>
  <c r="AI34" i="1"/>
  <c r="AV34" i="1" s="1"/>
  <c r="AJ34" i="1"/>
  <c r="AW34" i="1" s="1"/>
  <c r="AK34" i="1"/>
  <c r="AL34" i="1"/>
  <c r="AM34" i="1"/>
  <c r="AE35" i="1"/>
  <c r="AF35" i="1"/>
  <c r="AG35" i="1"/>
  <c r="AH35" i="1"/>
  <c r="AU35" i="1" s="1"/>
  <c r="AI35" i="1"/>
  <c r="AV35" i="1" s="1"/>
  <c r="AJ35" i="1"/>
  <c r="AW35" i="1" s="1"/>
  <c r="AK35" i="1"/>
  <c r="AL35" i="1"/>
  <c r="AM35" i="1"/>
  <c r="AE36" i="1"/>
  <c r="AF36" i="1"/>
  <c r="AG36" i="1"/>
  <c r="AH36" i="1"/>
  <c r="AU36" i="1" s="1"/>
  <c r="AI36" i="1"/>
  <c r="AV36" i="1" s="1"/>
  <c r="AJ36" i="1"/>
  <c r="AW36" i="1" s="1"/>
  <c r="AK36" i="1"/>
  <c r="AL36" i="1"/>
  <c r="AM36" i="1"/>
  <c r="AE37" i="1"/>
  <c r="AF37" i="1"/>
  <c r="AG37" i="1"/>
  <c r="AH37" i="1"/>
  <c r="AU37" i="1" s="1"/>
  <c r="AI37" i="1"/>
  <c r="AV37" i="1" s="1"/>
  <c r="AJ37" i="1"/>
  <c r="AW37" i="1" s="1"/>
  <c r="AK37" i="1"/>
  <c r="AL37" i="1"/>
  <c r="AM37" i="1"/>
  <c r="AE38" i="1"/>
  <c r="AF38" i="1"/>
  <c r="AG38" i="1"/>
  <c r="AS38" i="1" s="1"/>
  <c r="AH38" i="1"/>
  <c r="AU38" i="1" s="1"/>
  <c r="AI38" i="1"/>
  <c r="AV38" i="1" s="1"/>
  <c r="AJ38" i="1"/>
  <c r="AK38" i="1"/>
  <c r="AL38" i="1"/>
  <c r="AM38" i="1"/>
  <c r="AE39" i="1"/>
  <c r="AF39" i="1"/>
  <c r="AR39" i="1" s="1"/>
  <c r="AG39" i="1"/>
  <c r="AH39" i="1"/>
  <c r="AU39" i="1" s="1"/>
  <c r="AI39" i="1"/>
  <c r="AJ39" i="1"/>
  <c r="AK39" i="1"/>
  <c r="AL39" i="1"/>
  <c r="AM39" i="1"/>
  <c r="AE40" i="1"/>
  <c r="AQ40" i="1" s="1"/>
  <c r="AF40" i="1"/>
  <c r="AG40" i="1"/>
  <c r="AH40" i="1"/>
  <c r="AI40" i="1"/>
  <c r="AJ40" i="1"/>
  <c r="AK40" i="1"/>
  <c r="AL40" i="1"/>
  <c r="AM40" i="1"/>
  <c r="AE41" i="1"/>
  <c r="AF41" i="1"/>
  <c r="AG41" i="1"/>
  <c r="AH41" i="1"/>
  <c r="AI41" i="1"/>
  <c r="AJ41" i="1"/>
  <c r="AW41" i="1" s="1"/>
  <c r="AK41" i="1"/>
  <c r="AL41" i="1"/>
  <c r="AM41" i="1"/>
  <c r="AE42" i="1"/>
  <c r="AF42" i="1"/>
  <c r="AG42" i="1"/>
  <c r="AH42" i="1"/>
  <c r="AI42" i="1"/>
  <c r="AV42" i="1" s="1"/>
  <c r="AJ42" i="1"/>
  <c r="AW42" i="1" s="1"/>
  <c r="AK42" i="1"/>
  <c r="AL42" i="1"/>
  <c r="AM42" i="1"/>
  <c r="AE43" i="1"/>
  <c r="AF43" i="1"/>
  <c r="AG43" i="1"/>
  <c r="AH43" i="1"/>
  <c r="AU43" i="1" s="1"/>
  <c r="AI43" i="1"/>
  <c r="AV43" i="1" s="1"/>
  <c r="AJ43" i="1"/>
  <c r="AW43" i="1" s="1"/>
  <c r="AK43" i="1"/>
  <c r="AL43" i="1"/>
  <c r="AM43" i="1"/>
  <c r="AE44" i="1"/>
  <c r="AF44" i="1"/>
  <c r="AG44" i="1"/>
  <c r="AH44" i="1"/>
  <c r="AU44" i="1" s="1"/>
  <c r="AI44" i="1"/>
  <c r="AV44" i="1" s="1"/>
  <c r="AJ44" i="1"/>
  <c r="AW44" i="1" s="1"/>
  <c r="AK44" i="1"/>
  <c r="AL44" i="1"/>
  <c r="AM44" i="1"/>
  <c r="AE45" i="1"/>
  <c r="AF45" i="1"/>
  <c r="AG45" i="1"/>
  <c r="AH45" i="1"/>
  <c r="AU45" i="1" s="1"/>
  <c r="AI45" i="1"/>
  <c r="AV45" i="1" s="1"/>
  <c r="AJ45" i="1"/>
  <c r="AW45" i="1" s="1"/>
  <c r="AK45" i="1"/>
  <c r="AL45" i="1"/>
  <c r="AM45" i="1"/>
  <c r="AE46" i="1"/>
  <c r="AF46" i="1"/>
  <c r="AG46" i="1"/>
  <c r="AS46" i="1" s="1"/>
  <c r="AH46" i="1"/>
  <c r="AU46" i="1" s="1"/>
  <c r="AI46" i="1"/>
  <c r="AJ46" i="1"/>
  <c r="AK46" i="1"/>
  <c r="AL46" i="1"/>
  <c r="AM46" i="1"/>
  <c r="AE47" i="1"/>
  <c r="AF47" i="1"/>
  <c r="AR47" i="1" s="1"/>
  <c r="AG47" i="1"/>
  <c r="AH47" i="1"/>
  <c r="AU47" i="1" s="1"/>
  <c r="AI47" i="1"/>
  <c r="AJ47" i="1"/>
  <c r="AK47" i="1"/>
  <c r="AL47" i="1"/>
  <c r="AM47" i="1"/>
  <c r="AE48" i="1"/>
  <c r="AQ48" i="1" s="1"/>
  <c r="AF48" i="1"/>
  <c r="AG48" i="1"/>
  <c r="AH48" i="1"/>
  <c r="AI48" i="1"/>
  <c r="AJ48" i="1"/>
  <c r="AK48" i="1"/>
  <c r="AL48" i="1"/>
  <c r="AM48" i="1"/>
  <c r="AE49" i="1"/>
  <c r="AF49" i="1"/>
  <c r="AG49" i="1"/>
  <c r="AH49" i="1"/>
  <c r="AI49" i="1"/>
  <c r="AJ49" i="1"/>
  <c r="AW49" i="1" s="1"/>
  <c r="AK49" i="1"/>
  <c r="AL49" i="1"/>
  <c r="AM49" i="1"/>
  <c r="AE50" i="1"/>
  <c r="AF50" i="1"/>
  <c r="AG50" i="1"/>
  <c r="AH50" i="1"/>
  <c r="AI50" i="1"/>
  <c r="AV50" i="1" s="1"/>
  <c r="AJ50" i="1"/>
  <c r="AW50" i="1" s="1"/>
  <c r="AK50" i="1"/>
  <c r="AL50" i="1"/>
  <c r="AM50" i="1"/>
  <c r="AE51" i="1"/>
  <c r="AF51" i="1"/>
  <c r="AG51" i="1"/>
  <c r="AH51" i="1"/>
  <c r="AU51" i="1" s="1"/>
  <c r="AI51" i="1"/>
  <c r="AV51" i="1" s="1"/>
  <c r="AJ51" i="1"/>
  <c r="AW51" i="1" s="1"/>
  <c r="AK51" i="1"/>
  <c r="AL51" i="1"/>
  <c r="AM51" i="1"/>
  <c r="AE52" i="1"/>
  <c r="AF52" i="1"/>
  <c r="AG52" i="1"/>
  <c r="AH52" i="1"/>
  <c r="AU52" i="1" s="1"/>
  <c r="AI52" i="1"/>
  <c r="AV52" i="1" s="1"/>
  <c r="AJ52" i="1"/>
  <c r="AW52" i="1" s="1"/>
  <c r="AK52" i="1"/>
  <c r="AL52" i="1"/>
  <c r="AM52" i="1"/>
  <c r="AE53" i="1"/>
  <c r="AF53" i="1"/>
  <c r="AG53" i="1"/>
  <c r="AH53" i="1"/>
  <c r="AU53" i="1" s="1"/>
  <c r="AI53" i="1"/>
  <c r="AV53" i="1" s="1"/>
  <c r="AJ53" i="1"/>
  <c r="AW53" i="1" s="1"/>
  <c r="AK53" i="1"/>
  <c r="AL53" i="1"/>
  <c r="AM53" i="1"/>
  <c r="AE54" i="1"/>
  <c r="AF54" i="1"/>
  <c r="AG54" i="1"/>
  <c r="AS54" i="1" s="1"/>
  <c r="AH54" i="1"/>
  <c r="AU54" i="1" s="1"/>
  <c r="AI54" i="1"/>
  <c r="AV54" i="1" s="1"/>
  <c r="AJ54" i="1"/>
  <c r="AK54" i="1"/>
  <c r="AL54" i="1"/>
  <c r="AM54" i="1"/>
  <c r="AE55" i="1"/>
  <c r="AF55" i="1"/>
  <c r="AR55" i="1" s="1"/>
  <c r="AG55" i="1"/>
  <c r="AH55" i="1"/>
  <c r="AU55" i="1" s="1"/>
  <c r="AI55" i="1"/>
  <c r="AJ55" i="1"/>
  <c r="AK55" i="1"/>
  <c r="AL55" i="1"/>
  <c r="AM55" i="1"/>
  <c r="AE56" i="1"/>
  <c r="AQ56" i="1" s="1"/>
  <c r="AF56" i="1"/>
  <c r="AG56" i="1"/>
  <c r="AH56" i="1"/>
  <c r="AI56" i="1"/>
  <c r="AJ56" i="1"/>
  <c r="AK56" i="1"/>
  <c r="AL56" i="1"/>
  <c r="AM56" i="1"/>
  <c r="AE57" i="1"/>
  <c r="AF57" i="1"/>
  <c r="AG57" i="1"/>
  <c r="AH57" i="1"/>
  <c r="AI57" i="1"/>
  <c r="AJ57" i="1"/>
  <c r="AW57" i="1" s="1"/>
  <c r="AK57" i="1"/>
  <c r="AL57" i="1"/>
  <c r="AM57" i="1"/>
  <c r="AE58" i="1"/>
  <c r="AF58" i="1"/>
  <c r="AG58" i="1"/>
  <c r="AH58" i="1"/>
  <c r="AI58" i="1"/>
  <c r="AV58" i="1" s="1"/>
  <c r="AJ58" i="1"/>
  <c r="AW58" i="1" s="1"/>
  <c r="AK58" i="1"/>
  <c r="AL58" i="1"/>
  <c r="AM58" i="1"/>
  <c r="AE59" i="1"/>
  <c r="AF59" i="1"/>
  <c r="AG59" i="1"/>
  <c r="AH59" i="1"/>
  <c r="AU59" i="1" s="1"/>
  <c r="AI59" i="1"/>
  <c r="AV59" i="1" s="1"/>
  <c r="AJ59" i="1"/>
  <c r="AW59" i="1" s="1"/>
  <c r="AK59" i="1"/>
  <c r="AL59" i="1"/>
  <c r="AM59" i="1"/>
  <c r="AE60" i="1"/>
  <c r="AF60" i="1"/>
  <c r="AG60" i="1"/>
  <c r="AH60" i="1"/>
  <c r="AU60" i="1" s="1"/>
  <c r="AI60" i="1"/>
  <c r="AV60" i="1" s="1"/>
  <c r="AJ60" i="1"/>
  <c r="AW60" i="1" s="1"/>
  <c r="AK60" i="1"/>
  <c r="AL60" i="1"/>
  <c r="AM60" i="1"/>
  <c r="AE61" i="1"/>
  <c r="AF61" i="1"/>
  <c r="AG61" i="1"/>
  <c r="AH61" i="1"/>
  <c r="AU61" i="1" s="1"/>
  <c r="AI61" i="1"/>
  <c r="AV61" i="1" s="1"/>
  <c r="AJ61" i="1"/>
  <c r="AW61" i="1" s="1"/>
  <c r="AK61" i="1"/>
  <c r="AL61" i="1"/>
  <c r="AM61" i="1"/>
  <c r="AE62" i="1"/>
  <c r="AF62" i="1"/>
  <c r="AG62" i="1"/>
  <c r="AS62" i="1" s="1"/>
  <c r="AH62" i="1"/>
  <c r="AU62" i="1" s="1"/>
  <c r="AI62" i="1"/>
  <c r="AJ62" i="1"/>
  <c r="AK62" i="1"/>
  <c r="AL62" i="1"/>
  <c r="AM62" i="1"/>
  <c r="AE63" i="1"/>
  <c r="AF63" i="1"/>
  <c r="AR63" i="1" s="1"/>
  <c r="AG63" i="1"/>
  <c r="AH63" i="1"/>
  <c r="AU63" i="1" s="1"/>
  <c r="AI63" i="1"/>
  <c r="AJ63" i="1"/>
  <c r="AK63" i="1"/>
  <c r="AL63" i="1"/>
  <c r="AM63" i="1"/>
  <c r="AE64" i="1"/>
  <c r="AQ64" i="1" s="1"/>
  <c r="AF64" i="1"/>
  <c r="AG64" i="1"/>
  <c r="AH64" i="1"/>
  <c r="AI64" i="1"/>
  <c r="AJ64" i="1"/>
  <c r="AK64" i="1"/>
  <c r="AL64" i="1"/>
  <c r="AM64" i="1"/>
  <c r="AE65" i="1"/>
  <c r="AF65" i="1"/>
  <c r="AG65" i="1"/>
  <c r="AH65" i="1"/>
  <c r="AI65" i="1"/>
  <c r="AJ65" i="1"/>
  <c r="AW65" i="1" s="1"/>
  <c r="AK65" i="1"/>
  <c r="AL65" i="1"/>
  <c r="AM65" i="1"/>
  <c r="AE66" i="1"/>
  <c r="AF66" i="1"/>
  <c r="AG66" i="1"/>
  <c r="AH66" i="1"/>
  <c r="AI66" i="1"/>
  <c r="AV66" i="1" s="1"/>
  <c r="AJ66" i="1"/>
  <c r="AW66" i="1" s="1"/>
  <c r="AK66" i="1"/>
  <c r="AL66" i="1"/>
  <c r="AM66" i="1"/>
  <c r="AE67" i="1"/>
  <c r="AF67" i="1"/>
  <c r="AG67" i="1"/>
  <c r="AH67" i="1"/>
  <c r="AU67" i="1" s="1"/>
  <c r="AI67" i="1"/>
  <c r="AV67" i="1" s="1"/>
  <c r="AJ67" i="1"/>
  <c r="AW67" i="1" s="1"/>
  <c r="AK67" i="1"/>
  <c r="AL67" i="1"/>
  <c r="AM67" i="1"/>
  <c r="AE68" i="1"/>
  <c r="AF68" i="1"/>
  <c r="AG68" i="1"/>
  <c r="AH68" i="1"/>
  <c r="AU68" i="1" s="1"/>
  <c r="AI68" i="1"/>
  <c r="AV68" i="1" s="1"/>
  <c r="AJ68" i="1"/>
  <c r="AW68" i="1" s="1"/>
  <c r="AK68" i="1"/>
  <c r="AL68" i="1"/>
  <c r="AM68" i="1"/>
  <c r="AE69" i="1"/>
  <c r="AF69" i="1"/>
  <c r="AG69" i="1"/>
  <c r="AH69" i="1"/>
  <c r="AU69" i="1" s="1"/>
  <c r="AI69" i="1"/>
  <c r="AV69" i="1" s="1"/>
  <c r="AJ69" i="1"/>
  <c r="AW69" i="1" s="1"/>
  <c r="AK69" i="1"/>
  <c r="AL69" i="1"/>
  <c r="AM69" i="1"/>
  <c r="AE70" i="1"/>
  <c r="AF70" i="1"/>
  <c r="AG70" i="1"/>
  <c r="AS70" i="1" s="1"/>
  <c r="AH70" i="1"/>
  <c r="AU70" i="1" s="1"/>
  <c r="AI70" i="1"/>
  <c r="AV70" i="1" s="1"/>
  <c r="AJ70" i="1"/>
  <c r="AK70" i="1"/>
  <c r="AL70" i="1"/>
  <c r="AM70" i="1"/>
  <c r="AE71" i="1"/>
  <c r="AF71" i="1"/>
  <c r="AR71" i="1" s="1"/>
  <c r="AG71" i="1"/>
  <c r="AH71" i="1"/>
  <c r="AU71" i="1" s="1"/>
  <c r="AI71" i="1"/>
  <c r="AJ71" i="1"/>
  <c r="AK71" i="1"/>
  <c r="AL71" i="1"/>
  <c r="AM71" i="1"/>
  <c r="AE72" i="1"/>
  <c r="AQ72" i="1" s="1"/>
  <c r="AF72" i="1"/>
  <c r="AG72" i="1"/>
  <c r="AH72" i="1"/>
  <c r="AI72" i="1"/>
  <c r="AJ72" i="1"/>
  <c r="AK72" i="1"/>
  <c r="AL72" i="1"/>
  <c r="AM72" i="1"/>
  <c r="AE73" i="1"/>
  <c r="AF73" i="1"/>
  <c r="AG73" i="1"/>
  <c r="AH73" i="1"/>
  <c r="AI73" i="1"/>
  <c r="AJ73" i="1"/>
  <c r="AW73" i="1" s="1"/>
  <c r="AK73" i="1"/>
  <c r="AL73" i="1"/>
  <c r="AM73" i="1"/>
  <c r="AE74" i="1"/>
  <c r="AF74" i="1"/>
  <c r="AG74" i="1"/>
  <c r="AH74" i="1"/>
  <c r="AI74" i="1"/>
  <c r="AV74" i="1" s="1"/>
  <c r="AJ74" i="1"/>
  <c r="AW74" i="1" s="1"/>
  <c r="AK74" i="1"/>
  <c r="AL74" i="1"/>
  <c r="AM74" i="1"/>
  <c r="AE75" i="1"/>
  <c r="AF75" i="1"/>
  <c r="AG75" i="1"/>
  <c r="AH75" i="1"/>
  <c r="AU75" i="1" s="1"/>
  <c r="AI75" i="1"/>
  <c r="AV75" i="1" s="1"/>
  <c r="AJ75" i="1"/>
  <c r="AW75" i="1" s="1"/>
  <c r="AK75" i="1"/>
  <c r="AL75" i="1"/>
  <c r="AM75" i="1"/>
  <c r="AE76" i="1"/>
  <c r="AF76" i="1"/>
  <c r="AG76" i="1"/>
  <c r="AH76" i="1"/>
  <c r="AU76" i="1" s="1"/>
  <c r="AI76" i="1"/>
  <c r="AV76" i="1" s="1"/>
  <c r="AJ76" i="1"/>
  <c r="AW76" i="1" s="1"/>
  <c r="AK76" i="1"/>
  <c r="AL76" i="1"/>
  <c r="AM76" i="1"/>
  <c r="AE77" i="1"/>
  <c r="AF77" i="1"/>
  <c r="AG77" i="1"/>
  <c r="AH77" i="1"/>
  <c r="AU77" i="1" s="1"/>
  <c r="AI77" i="1"/>
  <c r="AV77" i="1" s="1"/>
  <c r="AJ77" i="1"/>
  <c r="AW77" i="1" s="1"/>
  <c r="AK77" i="1"/>
  <c r="AL77" i="1"/>
  <c r="AM77" i="1"/>
  <c r="AE78" i="1"/>
  <c r="AF78" i="1"/>
  <c r="AG78" i="1"/>
  <c r="AS78" i="1" s="1"/>
  <c r="AH78" i="1"/>
  <c r="AU78" i="1" s="1"/>
  <c r="AI78" i="1"/>
  <c r="AJ78" i="1"/>
  <c r="AK78" i="1"/>
  <c r="AL78" i="1"/>
  <c r="AM78" i="1"/>
  <c r="AE79" i="1"/>
  <c r="AF79" i="1"/>
  <c r="AR79" i="1" s="1"/>
  <c r="AG79" i="1"/>
  <c r="AH79" i="1"/>
  <c r="AU79" i="1" s="1"/>
  <c r="AI79" i="1"/>
  <c r="AJ79" i="1"/>
  <c r="AK79" i="1"/>
  <c r="AL79" i="1"/>
  <c r="AM79" i="1"/>
  <c r="AE80" i="1"/>
  <c r="AQ80" i="1" s="1"/>
  <c r="AF80" i="1"/>
  <c r="AG80" i="1"/>
  <c r="AH80" i="1"/>
  <c r="AI80" i="1"/>
  <c r="AJ80" i="1"/>
  <c r="AK80" i="1"/>
  <c r="AL80" i="1"/>
  <c r="AM80" i="1"/>
  <c r="AE81" i="1"/>
  <c r="AF81" i="1"/>
  <c r="AG81" i="1"/>
  <c r="AH81" i="1"/>
  <c r="AI81" i="1"/>
  <c r="AJ81" i="1"/>
  <c r="AW81" i="1" s="1"/>
  <c r="AK81" i="1"/>
  <c r="AL81" i="1"/>
  <c r="AM81" i="1"/>
  <c r="AE82" i="1"/>
  <c r="AF82" i="1"/>
  <c r="AG82" i="1"/>
  <c r="AH82" i="1"/>
  <c r="AI82" i="1"/>
  <c r="AV82" i="1" s="1"/>
  <c r="AJ82" i="1"/>
  <c r="AW82" i="1" s="1"/>
  <c r="AK82" i="1"/>
  <c r="AL82" i="1"/>
  <c r="AM82" i="1"/>
  <c r="AM2" i="1"/>
  <c r="AL2" i="1"/>
  <c r="AK2" i="1"/>
  <c r="AJ2" i="1"/>
  <c r="AH2" i="1"/>
  <c r="AG2" i="1"/>
  <c r="AF2" i="1"/>
  <c r="AR2" i="1" s="1"/>
  <c r="AE2" i="1"/>
  <c r="AU2" i="1" l="1"/>
  <c r="AQ55" i="1"/>
  <c r="AQ39" i="1"/>
  <c r="AR14" i="1"/>
  <c r="AW2" i="1"/>
  <c r="AQ62" i="1"/>
  <c r="AR37" i="1"/>
  <c r="AS12" i="1"/>
  <c r="AR5" i="1"/>
  <c r="AT5" i="1" s="1"/>
  <c r="AV81" i="1"/>
  <c r="AU74" i="1"/>
  <c r="AQ69" i="1"/>
  <c r="AT69" i="1" s="1"/>
  <c r="AV65" i="1"/>
  <c r="AU58" i="1"/>
  <c r="AX58" i="1" s="1"/>
  <c r="AQ53" i="1"/>
  <c r="AT53" i="1" s="1"/>
  <c r="AV49" i="1"/>
  <c r="AX49" i="1" s="1"/>
  <c r="AU42" i="1"/>
  <c r="AS35" i="1"/>
  <c r="AU26" i="1"/>
  <c r="AS19" i="1"/>
  <c r="AR12" i="1"/>
  <c r="AW8" i="1"/>
  <c r="AQ5" i="1"/>
  <c r="AU81" i="1"/>
  <c r="AU65" i="1"/>
  <c r="AV56" i="1"/>
  <c r="AU49" i="1"/>
  <c r="AV40" i="1"/>
  <c r="AU33" i="1"/>
  <c r="AU17" i="1"/>
  <c r="AV8" i="1"/>
  <c r="AX8" i="1" s="1"/>
  <c r="AS69" i="1"/>
  <c r="AS37" i="1"/>
  <c r="AQ23" i="1"/>
  <c r="AS21" i="1"/>
  <c r="AQ7" i="1"/>
  <c r="AS5" i="1"/>
  <c r="AQ78" i="1"/>
  <c r="AS76" i="1"/>
  <c r="AR69" i="1"/>
  <c r="AS60" i="1"/>
  <c r="AR53" i="1"/>
  <c r="AQ46" i="1"/>
  <c r="AT46" i="1" s="1"/>
  <c r="AS44" i="1"/>
  <c r="AT44" i="1" s="1"/>
  <c r="AQ30" i="1"/>
  <c r="AT30" i="1" s="1"/>
  <c r="AS28" i="1"/>
  <c r="AR21" i="1"/>
  <c r="AT21" i="1" s="1"/>
  <c r="AQ14" i="1"/>
  <c r="AT14" i="1" s="1"/>
  <c r="AR76" i="1"/>
  <c r="AW72" i="1"/>
  <c r="AS67" i="1"/>
  <c r="AR60" i="1"/>
  <c r="AW56" i="1"/>
  <c r="AS51" i="1"/>
  <c r="AR44" i="1"/>
  <c r="AW40" i="1"/>
  <c r="AQ37" i="1"/>
  <c r="AV33" i="1"/>
  <c r="AR28" i="1"/>
  <c r="AW24" i="1"/>
  <c r="AQ21" i="1"/>
  <c r="AV17" i="1"/>
  <c r="AU10" i="1"/>
  <c r="AX10" i="1" s="1"/>
  <c r="AS3" i="1"/>
  <c r="AW79" i="1"/>
  <c r="AV72" i="1"/>
  <c r="AW63" i="1"/>
  <c r="AW47" i="1"/>
  <c r="AW31" i="1"/>
  <c r="AV24" i="1"/>
  <c r="AW15" i="1"/>
  <c r="AV79" i="1"/>
  <c r="AX79" i="1" s="1"/>
  <c r="AU72" i="1"/>
  <c r="AW70" i="1"/>
  <c r="AX70" i="1" s="1"/>
  <c r="AV63" i="1"/>
  <c r="AX63" i="1" s="1"/>
  <c r="AU56" i="1"/>
  <c r="AW54" i="1"/>
  <c r="AX54" i="1" s="1"/>
  <c r="AV47" i="1"/>
  <c r="AX47" i="1" s="1"/>
  <c r="AU40" i="1"/>
  <c r="AW38" i="1"/>
  <c r="AX38" i="1" s="1"/>
  <c r="AV31" i="1"/>
  <c r="AU24" i="1"/>
  <c r="AX24" i="1" s="1"/>
  <c r="AW22" i="1"/>
  <c r="AV15" i="1"/>
  <c r="AU8" i="1"/>
  <c r="AW6" i="1"/>
  <c r="AR62" i="1"/>
  <c r="AS53" i="1"/>
  <c r="AX6" i="1"/>
  <c r="AX77" i="1"/>
  <c r="AX61" i="1"/>
  <c r="AX45" i="1"/>
  <c r="AQ79" i="1"/>
  <c r="AS29" i="1"/>
  <c r="AR6" i="1"/>
  <c r="AQ70" i="1"/>
  <c r="AS68" i="1"/>
  <c r="AR61" i="1"/>
  <c r="AQ54" i="1"/>
  <c r="AS52" i="1"/>
  <c r="AR45" i="1"/>
  <c r="AQ38" i="1"/>
  <c r="AT38" i="1" s="1"/>
  <c r="AS36" i="1"/>
  <c r="AR29" i="1"/>
  <c r="AQ22" i="1"/>
  <c r="AS20" i="1"/>
  <c r="AR13" i="1"/>
  <c r="AQ6" i="1"/>
  <c r="AT6" i="1" s="1"/>
  <c r="AS4" i="1"/>
  <c r="AQ71" i="1"/>
  <c r="AV2" i="1"/>
  <c r="AX22" i="1"/>
  <c r="AX13" i="1"/>
  <c r="AS61" i="1"/>
  <c r="AR54" i="1"/>
  <c r="AQ47" i="1"/>
  <c r="AR38" i="1"/>
  <c r="AQ31" i="1"/>
  <c r="AR77" i="1"/>
  <c r="AU82" i="1"/>
  <c r="AX82" i="1" s="1"/>
  <c r="AW80" i="1"/>
  <c r="AV73" i="1"/>
  <c r="AR68" i="1"/>
  <c r="AT68" i="1" s="1"/>
  <c r="AU66" i="1"/>
  <c r="AX66" i="1" s="1"/>
  <c r="AW64" i="1"/>
  <c r="AX64" i="1" s="1"/>
  <c r="AQ61" i="1"/>
  <c r="AS59" i="1"/>
  <c r="AV57" i="1"/>
  <c r="AR52" i="1"/>
  <c r="AU50" i="1"/>
  <c r="AW48" i="1"/>
  <c r="AQ45" i="1"/>
  <c r="AS43" i="1"/>
  <c r="AV41" i="1"/>
  <c r="AR36" i="1"/>
  <c r="AU34" i="1"/>
  <c r="AX34" i="1" s="1"/>
  <c r="AW32" i="1"/>
  <c r="AQ29" i="1"/>
  <c r="AT29" i="1" s="1"/>
  <c r="AS27" i="1"/>
  <c r="AV25" i="1"/>
  <c r="AX25" i="1" s="1"/>
  <c r="AR20" i="1"/>
  <c r="AT20" i="1" s="1"/>
  <c r="AU18" i="1"/>
  <c r="AW16" i="1"/>
  <c r="AQ13" i="1"/>
  <c r="AS11" i="1"/>
  <c r="AV9" i="1"/>
  <c r="AR4" i="1"/>
  <c r="AX29" i="1"/>
  <c r="AQ63" i="1"/>
  <c r="AQ15" i="1"/>
  <c r="AT15" i="1" s="1"/>
  <c r="AS82" i="1"/>
  <c r="AV80" i="1"/>
  <c r="AR75" i="1"/>
  <c r="AU73" i="1"/>
  <c r="AX73" i="1" s="1"/>
  <c r="AW71" i="1"/>
  <c r="AX71" i="1" s="1"/>
  <c r="AQ68" i="1"/>
  <c r="AS66" i="1"/>
  <c r="AV64" i="1"/>
  <c r="AR59" i="1"/>
  <c r="AU57" i="1"/>
  <c r="AW55" i="1"/>
  <c r="AQ52" i="1"/>
  <c r="AS50" i="1"/>
  <c r="AV48" i="1"/>
  <c r="AR43" i="1"/>
  <c r="AU41" i="1"/>
  <c r="AX41" i="1" s="1"/>
  <c r="AW39" i="1"/>
  <c r="AQ36" i="1"/>
  <c r="AT36" i="1" s="1"/>
  <c r="AS34" i="1"/>
  <c r="AV32" i="1"/>
  <c r="AR27" i="1"/>
  <c r="AT27" i="1" s="1"/>
  <c r="AU25" i="1"/>
  <c r="AQ20" i="1"/>
  <c r="AS18" i="1"/>
  <c r="AV16" i="1"/>
  <c r="AR11" i="1"/>
  <c r="AQ4" i="1"/>
  <c r="AR78" i="1"/>
  <c r="AR46" i="1"/>
  <c r="AR30" i="1"/>
  <c r="AX31" i="1"/>
  <c r="AX15" i="1"/>
  <c r="AS77" i="1"/>
  <c r="AR70" i="1"/>
  <c r="AS45" i="1"/>
  <c r="AT45" i="1" s="1"/>
  <c r="AR22" i="1"/>
  <c r="AS13" i="1"/>
  <c r="AU80" i="1"/>
  <c r="AX80" i="1" s="1"/>
  <c r="AW78" i="1"/>
  <c r="AV71" i="1"/>
  <c r="AU64" i="1"/>
  <c r="AW62" i="1"/>
  <c r="AV55" i="1"/>
  <c r="AU48" i="1"/>
  <c r="AW46" i="1"/>
  <c r="AV39" i="1"/>
  <c r="AU32" i="1"/>
  <c r="AX32" i="1" s="1"/>
  <c r="AW30" i="1"/>
  <c r="AV23" i="1"/>
  <c r="AX23" i="1" s="1"/>
  <c r="AU16" i="1"/>
  <c r="AX16" i="1" s="1"/>
  <c r="AW14" i="1"/>
  <c r="AV7" i="1"/>
  <c r="AX68" i="1"/>
  <c r="AX9" i="1"/>
  <c r="AX57" i="1"/>
  <c r="AX44" i="1"/>
  <c r="AX51" i="1"/>
  <c r="AX35" i="1"/>
  <c r="AX19" i="1"/>
  <c r="AX3" i="1"/>
  <c r="AX11" i="1"/>
  <c r="AX48" i="1"/>
  <c r="AX78" i="1"/>
  <c r="AX60" i="1"/>
  <c r="AX42" i="1"/>
  <c r="AX26" i="1"/>
  <c r="AX52" i="1"/>
  <c r="AX20" i="1"/>
  <c r="AX43" i="1"/>
  <c r="AX37" i="1"/>
  <c r="AX76" i="1"/>
  <c r="AX81" i="1"/>
  <c r="AX33" i="1"/>
  <c r="AX17" i="1"/>
  <c r="AX36" i="1"/>
  <c r="AX75" i="1"/>
  <c r="AX59" i="1"/>
  <c r="AX50" i="1"/>
  <c r="AX69" i="1"/>
  <c r="AX21" i="1"/>
  <c r="AX12" i="1"/>
  <c r="AX67" i="1"/>
  <c r="AX74" i="1"/>
  <c r="AX65" i="1"/>
  <c r="AX72" i="1"/>
  <c r="AX56" i="1"/>
  <c r="AX40" i="1"/>
  <c r="AX4" i="1"/>
  <c r="AX27" i="1"/>
  <c r="AX55" i="1"/>
  <c r="AX28" i="1"/>
  <c r="AX18" i="1"/>
  <c r="AX39" i="1"/>
  <c r="AX53" i="1"/>
  <c r="AV46" i="1"/>
  <c r="AX46" i="1" s="1"/>
  <c r="AQ67" i="1"/>
  <c r="AT67" i="1" s="1"/>
  <c r="AS65" i="1"/>
  <c r="AR58" i="1"/>
  <c r="AQ51" i="1"/>
  <c r="AS49" i="1"/>
  <c r="AR42" i="1"/>
  <c r="AQ35" i="1"/>
  <c r="AS33" i="1"/>
  <c r="AR26" i="1"/>
  <c r="AQ19" i="1"/>
  <c r="AS17" i="1"/>
  <c r="AR10" i="1"/>
  <c r="AQ3" i="1"/>
  <c r="AW5" i="1"/>
  <c r="AQ76" i="1"/>
  <c r="AT76" i="1" s="1"/>
  <c r="AS74" i="1"/>
  <c r="AR67" i="1"/>
  <c r="AQ60" i="1"/>
  <c r="AT60" i="1" s="1"/>
  <c r="AS58" i="1"/>
  <c r="AR51" i="1"/>
  <c r="AQ44" i="1"/>
  <c r="AS42" i="1"/>
  <c r="AR35" i="1"/>
  <c r="AT35" i="1" s="1"/>
  <c r="AQ28" i="1"/>
  <c r="AS26" i="1"/>
  <c r="AR19" i="1"/>
  <c r="AT19" i="1" s="1"/>
  <c r="AQ12" i="1"/>
  <c r="AS10" i="1"/>
  <c r="AR3" i="1"/>
  <c r="AV78" i="1"/>
  <c r="AV62" i="1"/>
  <c r="AX62" i="1" s="1"/>
  <c r="AS81" i="1"/>
  <c r="AR74" i="1"/>
  <c r="AS72" i="1"/>
  <c r="AQ58" i="1"/>
  <c r="AT58" i="1" s="1"/>
  <c r="AS56" i="1"/>
  <c r="AR49" i="1"/>
  <c r="AQ42" i="1"/>
  <c r="AT42" i="1" s="1"/>
  <c r="AS40" i="1"/>
  <c r="AR33" i="1"/>
  <c r="AQ26" i="1"/>
  <c r="AT26" i="1" s="1"/>
  <c r="AS24" i="1"/>
  <c r="AR17" i="1"/>
  <c r="AQ10" i="1"/>
  <c r="AT10" i="1" s="1"/>
  <c r="AS8" i="1"/>
  <c r="AT8" i="1" s="1"/>
  <c r="AU7" i="1"/>
  <c r="AV5" i="1"/>
  <c r="AX5" i="1" s="1"/>
  <c r="AV30" i="1"/>
  <c r="AX30" i="1" s="1"/>
  <c r="AV14" i="1"/>
  <c r="AX14" i="1" s="1"/>
  <c r="AR81" i="1"/>
  <c r="AQ74" i="1"/>
  <c r="AR65" i="1"/>
  <c r="AQ81" i="1"/>
  <c r="AS79" i="1"/>
  <c r="AR72" i="1"/>
  <c r="AQ65" i="1"/>
  <c r="AS63" i="1"/>
  <c r="AR56" i="1"/>
  <c r="AT56" i="1" s="1"/>
  <c r="AQ49" i="1"/>
  <c r="AT49" i="1" s="1"/>
  <c r="AS47" i="1"/>
  <c r="AT47" i="1" s="1"/>
  <c r="AR40" i="1"/>
  <c r="AT40" i="1" s="1"/>
  <c r="AQ33" i="1"/>
  <c r="AT33" i="1" s="1"/>
  <c r="AS31" i="1"/>
  <c r="AT31" i="1" s="1"/>
  <c r="AR24" i="1"/>
  <c r="AQ17" i="1"/>
  <c r="AS15" i="1"/>
  <c r="AR8" i="1"/>
  <c r="AQ77" i="1"/>
  <c r="AS73" i="1"/>
  <c r="AS57" i="1"/>
  <c r="AS41" i="1"/>
  <c r="AS25" i="1"/>
  <c r="AQ11" i="1"/>
  <c r="AT11" i="1" s="1"/>
  <c r="AQ2" i="1"/>
  <c r="AT2" i="1" s="1"/>
  <c r="AQ82" i="1"/>
  <c r="AS80" i="1"/>
  <c r="AR73" i="1"/>
  <c r="AQ66" i="1"/>
  <c r="AS64" i="1"/>
  <c r="AR57" i="1"/>
  <c r="AQ50" i="1"/>
  <c r="AT50" i="1" s="1"/>
  <c r="AS48" i="1"/>
  <c r="AR41" i="1"/>
  <c r="AQ34" i="1"/>
  <c r="AS32" i="1"/>
  <c r="AR25" i="1"/>
  <c r="AQ18" i="1"/>
  <c r="AT18" i="1" s="1"/>
  <c r="AS16" i="1"/>
  <c r="AT16" i="1" s="1"/>
  <c r="AR9" i="1"/>
  <c r="AT9" i="1" s="1"/>
  <c r="AS75" i="1"/>
  <c r="AR82" i="1"/>
  <c r="AQ75" i="1"/>
  <c r="AT75" i="1" s="1"/>
  <c r="AR66" i="1"/>
  <c r="AQ59" i="1"/>
  <c r="AT59" i="1" s="1"/>
  <c r="AR50" i="1"/>
  <c r="AQ43" i="1"/>
  <c r="AT43" i="1" s="1"/>
  <c r="AR34" i="1"/>
  <c r="AQ27" i="1"/>
  <c r="AR18" i="1"/>
  <c r="AS9" i="1"/>
  <c r="AR80" i="1"/>
  <c r="AQ73" i="1"/>
  <c r="AS71" i="1"/>
  <c r="AR64" i="1"/>
  <c r="AQ57" i="1"/>
  <c r="AS55" i="1"/>
  <c r="AT55" i="1" s="1"/>
  <c r="AR48" i="1"/>
  <c r="AQ41" i="1"/>
  <c r="AS39" i="1"/>
  <c r="AT39" i="1" s="1"/>
  <c r="AR32" i="1"/>
  <c r="AQ25" i="1"/>
  <c r="AS23" i="1"/>
  <c r="AT23" i="1" s="1"/>
  <c r="AR16" i="1"/>
  <c r="AQ9" i="1"/>
  <c r="AS7" i="1"/>
  <c r="AS2" i="1"/>
  <c r="AT7" i="1"/>
  <c r="AT52" i="1"/>
  <c r="AT12" i="1"/>
  <c r="AT4" i="1"/>
  <c r="AT79" i="1"/>
  <c r="AT61" i="1"/>
  <c r="AT51" i="1"/>
  <c r="AT37" i="1"/>
  <c r="AT13" i="1"/>
  <c r="AO47" i="1"/>
  <c r="AP44" i="1"/>
  <c r="AO43" i="1"/>
  <c r="AP40" i="1"/>
  <c r="AO39" i="1"/>
  <c r="AP36" i="1"/>
  <c r="AO35" i="1"/>
  <c r="AP32" i="1"/>
  <c r="AP82" i="1"/>
  <c r="AO81" i="1"/>
  <c r="AP74" i="1"/>
  <c r="AO73" i="1"/>
  <c r="AP70" i="1"/>
  <c r="AO69" i="1"/>
  <c r="AP66" i="1"/>
  <c r="AO65" i="1"/>
  <c r="AP58" i="1"/>
  <c r="AO57" i="1"/>
  <c r="AP54" i="1"/>
  <c r="AO53" i="1"/>
  <c r="AP50" i="1"/>
  <c r="AO49" i="1"/>
  <c r="AP42" i="1"/>
  <c r="AO41" i="1"/>
  <c r="AP38" i="1"/>
  <c r="AO37" i="1"/>
  <c r="AP34" i="1"/>
  <c r="AO33" i="1"/>
  <c r="AP22" i="1"/>
  <c r="AP18" i="1"/>
  <c r="AO17" i="1"/>
  <c r="AO2" i="1"/>
  <c r="AO31" i="1"/>
  <c r="AP28" i="1"/>
  <c r="AO27" i="1"/>
  <c r="AP24" i="1"/>
  <c r="AO23" i="1"/>
  <c r="AP78" i="1"/>
  <c r="AO77" i="1"/>
  <c r="AP62" i="1"/>
  <c r="AO61" i="1"/>
  <c r="AP46" i="1"/>
  <c r="AO45" i="1"/>
  <c r="AP30" i="1"/>
  <c r="AO29" i="1"/>
  <c r="AP14" i="1"/>
  <c r="AO13" i="1"/>
  <c r="AO80" i="1"/>
  <c r="AP77" i="1"/>
  <c r="AO76" i="1"/>
  <c r="AP73" i="1"/>
  <c r="AO72" i="1"/>
  <c r="AP69" i="1"/>
  <c r="AO68" i="1"/>
  <c r="AP65" i="1"/>
  <c r="AO64" i="1"/>
  <c r="AP61" i="1"/>
  <c r="AO60" i="1"/>
  <c r="AP57" i="1"/>
  <c r="AO56" i="1"/>
  <c r="AP53" i="1"/>
  <c r="AO52" i="1"/>
  <c r="AP49" i="1"/>
  <c r="AO48" i="1"/>
  <c r="AP45" i="1"/>
  <c r="AO44" i="1"/>
  <c r="AP41" i="1"/>
  <c r="AO40" i="1"/>
  <c r="AP37" i="1"/>
  <c r="AO36" i="1"/>
  <c r="AP33" i="1"/>
  <c r="AO32" i="1"/>
  <c r="AP29" i="1"/>
  <c r="AO28" i="1"/>
  <c r="AP25" i="1"/>
  <c r="AO24" i="1"/>
  <c r="AP21" i="1"/>
  <c r="AO20" i="1"/>
  <c r="AP17" i="1"/>
  <c r="AO16" i="1"/>
  <c r="AP13" i="1"/>
  <c r="AO12" i="1"/>
  <c r="AP9" i="1"/>
  <c r="AO8" i="1"/>
  <c r="AP5" i="1"/>
  <c r="AO4" i="1"/>
  <c r="AP81" i="1"/>
  <c r="AP26" i="1"/>
  <c r="AO25" i="1"/>
  <c r="AO21" i="1"/>
  <c r="AP10" i="1"/>
  <c r="AO9" i="1"/>
  <c r="AP6" i="1"/>
  <c r="AO5" i="1"/>
  <c r="AP80" i="1"/>
  <c r="AO79" i="1"/>
  <c r="AP76" i="1"/>
  <c r="AP72" i="1"/>
  <c r="AO71" i="1"/>
  <c r="AP68" i="1"/>
  <c r="AO67" i="1"/>
  <c r="AP64" i="1"/>
  <c r="AO63" i="1"/>
  <c r="AP60" i="1"/>
  <c r="AO59" i="1"/>
  <c r="AP56" i="1"/>
  <c r="AO55" i="1"/>
  <c r="AP52" i="1"/>
  <c r="AO51" i="1"/>
  <c r="AP2" i="1"/>
  <c r="AO82" i="1"/>
  <c r="AP79" i="1"/>
  <c r="AO78" i="1"/>
  <c r="AP75" i="1"/>
  <c r="AO74" i="1"/>
  <c r="AP71" i="1"/>
  <c r="AO70" i="1"/>
  <c r="AP67" i="1"/>
  <c r="AO66" i="1"/>
  <c r="AP63" i="1"/>
  <c r="AO62" i="1"/>
  <c r="AP59" i="1"/>
  <c r="AO58" i="1"/>
  <c r="AP55" i="1"/>
  <c r="AO54" i="1"/>
  <c r="AP51" i="1"/>
  <c r="AO50" i="1"/>
  <c r="AP47" i="1"/>
  <c r="AO46" i="1"/>
  <c r="AP43" i="1"/>
  <c r="AO42" i="1"/>
  <c r="AP39" i="1"/>
  <c r="AO38" i="1"/>
  <c r="AP35" i="1"/>
  <c r="AO34" i="1"/>
  <c r="AP31" i="1"/>
  <c r="AO30" i="1"/>
  <c r="AP27" i="1"/>
  <c r="AO26" i="1"/>
  <c r="AP23" i="1"/>
  <c r="AO22" i="1"/>
  <c r="AP19" i="1"/>
  <c r="AO18" i="1"/>
  <c r="AP15" i="1"/>
  <c r="AO14" i="1"/>
  <c r="AP11" i="1"/>
  <c r="AO10" i="1"/>
  <c r="AP7" i="1"/>
  <c r="AO6" i="1"/>
  <c r="AP3" i="1"/>
  <c r="AO75" i="1"/>
  <c r="AP48" i="1"/>
  <c r="AP20" i="1"/>
  <c r="AO19" i="1"/>
  <c r="AP16" i="1"/>
  <c r="AO15" i="1"/>
  <c r="AP12" i="1"/>
  <c r="AO11" i="1"/>
  <c r="AP8" i="1"/>
  <c r="AO7" i="1"/>
  <c r="AP4" i="1"/>
  <c r="AO3" i="1"/>
  <c r="AN30" i="1"/>
  <c r="AN78" i="1"/>
  <c r="AN62" i="1"/>
  <c r="AN46" i="1"/>
  <c r="AN14" i="1"/>
  <c r="AN82" i="1"/>
  <c r="AN70" i="1"/>
  <c r="AN66" i="1"/>
  <c r="AN54" i="1"/>
  <c r="AN50" i="1"/>
  <c r="AN38" i="1"/>
  <c r="AN34" i="1"/>
  <c r="AN22" i="1"/>
  <c r="AN18" i="1"/>
  <c r="AN6" i="1"/>
  <c r="AN69" i="1"/>
  <c r="AN65" i="1"/>
  <c r="AN61" i="1"/>
  <c r="AN57" i="1"/>
  <c r="AN53" i="1"/>
  <c r="AN49" i="1"/>
  <c r="AN45" i="1"/>
  <c r="AN41" i="1"/>
  <c r="AN37" i="1"/>
  <c r="AN33" i="1"/>
  <c r="AN29" i="1"/>
  <c r="AN25" i="1"/>
  <c r="AN21" i="1"/>
  <c r="AN17" i="1"/>
  <c r="AN13" i="1"/>
  <c r="AN9" i="1"/>
  <c r="AN5" i="1"/>
  <c r="AN81" i="1"/>
  <c r="AN77" i="1"/>
  <c r="AN73" i="1"/>
  <c r="AN74" i="1"/>
  <c r="AN58" i="1"/>
  <c r="AN42" i="1"/>
  <c r="AN26" i="1"/>
  <c r="AN10" i="1"/>
  <c r="AN80" i="1"/>
  <c r="AN60" i="1"/>
  <c r="AN32" i="1"/>
  <c r="AN4" i="1"/>
  <c r="AN63" i="1"/>
  <c r="AN59" i="1"/>
  <c r="AN55" i="1"/>
  <c r="AN51" i="1"/>
  <c r="AN47" i="1"/>
  <c r="AN43" i="1"/>
  <c r="AN39" i="1"/>
  <c r="AN35" i="1"/>
  <c r="AN31" i="1"/>
  <c r="AN27" i="1"/>
  <c r="AN23" i="1"/>
  <c r="AN19" i="1"/>
  <c r="AN15" i="1"/>
  <c r="AN11" i="1"/>
  <c r="AN7" i="1"/>
  <c r="AN3" i="1"/>
  <c r="AN76" i="1"/>
  <c r="AN72" i="1"/>
  <c r="AN68" i="1"/>
  <c r="AN64" i="1"/>
  <c r="AN56" i="1"/>
  <c r="AN52" i="1"/>
  <c r="AN48" i="1"/>
  <c r="AN44" i="1"/>
  <c r="AN40" i="1"/>
  <c r="AN36" i="1"/>
  <c r="AN28" i="1"/>
  <c r="AN24" i="1"/>
  <c r="AN20" i="1"/>
  <c r="AN16" i="1"/>
  <c r="AN12" i="1"/>
  <c r="AN8" i="1"/>
  <c r="AN2" i="1"/>
  <c r="AN79" i="1"/>
  <c r="AN75" i="1"/>
  <c r="AN71" i="1"/>
  <c r="AN67" i="1"/>
  <c r="AT24" i="1" l="1"/>
  <c r="AT71" i="1"/>
  <c r="AT63" i="1"/>
  <c r="AT3" i="1"/>
  <c r="AT22" i="1"/>
  <c r="AT17" i="1"/>
  <c r="AT73" i="1"/>
  <c r="AT65" i="1"/>
  <c r="AT28" i="1"/>
  <c r="AT78" i="1"/>
  <c r="AT62" i="1"/>
  <c r="AT57" i="1"/>
  <c r="AT80" i="1"/>
  <c r="AT25" i="1"/>
  <c r="AT72" i="1"/>
  <c r="AT54" i="1"/>
  <c r="AT32" i="1"/>
  <c r="AT34" i="1"/>
  <c r="AT77" i="1"/>
  <c r="AT81" i="1"/>
  <c r="AX7" i="1"/>
  <c r="AT64" i="1"/>
  <c r="AT70" i="1"/>
  <c r="AT82" i="1"/>
  <c r="AT48" i="1"/>
  <c r="AT74" i="1"/>
  <c r="AX2" i="1"/>
  <c r="AT41" i="1"/>
  <c r="AT66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<sst xmlns="http://schemas.openxmlformats.org/spreadsheetml/2006/main" count="678" uniqueCount="74">
  <si>
    <t>Punto</t>
  </si>
  <si>
    <t>Punta</t>
  </si>
  <si>
    <t>Color</t>
  </si>
  <si>
    <t>Vetas</t>
  </si>
  <si>
    <t>Sanidad</t>
  </si>
  <si>
    <t>Forma</t>
  </si>
  <si>
    <t>Pedúnculo</t>
  </si>
  <si>
    <t>Arrugas</t>
  </si>
  <si>
    <t>X</t>
  </si>
  <si>
    <t>Y</t>
  </si>
  <si>
    <t>Z</t>
  </si>
  <si>
    <t>Espesor Peric.</t>
  </si>
  <si>
    <t>Grados brix</t>
  </si>
  <si>
    <t>pH</t>
  </si>
  <si>
    <t>Observaciones</t>
  </si>
  <si>
    <t>lat</t>
  </si>
  <si>
    <t>long</t>
  </si>
  <si>
    <t>21/7/23</t>
  </si>
  <si>
    <t>25/7/23</t>
  </si>
  <si>
    <t>si</t>
  </si>
  <si>
    <t>no</t>
  </si>
  <si>
    <t>app graciela</t>
  </si>
  <si>
    <t>24° 47' 02.8'' S</t>
  </si>
  <si>
    <t>65° 31' 21.5'' W</t>
  </si>
  <si>
    <t>buscar</t>
  </si>
  <si>
    <t>piso 726</t>
  </si>
  <si>
    <t>s/d</t>
  </si>
  <si>
    <t>Regular</t>
  </si>
  <si>
    <t>Buena</t>
  </si>
  <si>
    <t>Mala</t>
  </si>
  <si>
    <t>Muy Buena</t>
  </si>
  <si>
    <t>z1</t>
  </si>
  <si>
    <t>z2</t>
  </si>
  <si>
    <t>z3</t>
  </si>
  <si>
    <t>x1</t>
  </si>
  <si>
    <t>x2</t>
  </si>
  <si>
    <t>x3</t>
  </si>
  <si>
    <t>y1</t>
  </si>
  <si>
    <t>y2</t>
  </si>
  <si>
    <t>y3</t>
  </si>
  <si>
    <t>a1</t>
  </si>
  <si>
    <t>a2</t>
  </si>
  <si>
    <t>a3</t>
  </si>
  <si>
    <t>b1</t>
  </si>
  <si>
    <t>b2</t>
  </si>
  <si>
    <t>b3</t>
  </si>
  <si>
    <t>L1</t>
  </si>
  <si>
    <t>L2</t>
  </si>
  <si>
    <t>L3</t>
  </si>
  <si>
    <t>a</t>
  </si>
  <si>
    <t>b</t>
  </si>
  <si>
    <t>LMEDIA</t>
  </si>
  <si>
    <t>Chro1</t>
  </si>
  <si>
    <t>Chro2</t>
  </si>
  <si>
    <t>Chro3</t>
  </si>
  <si>
    <t>CHROMA</t>
  </si>
  <si>
    <t>Hue2</t>
  </si>
  <si>
    <t>Hue3</t>
  </si>
  <si>
    <t>HUE</t>
  </si>
  <si>
    <t>Hue1</t>
  </si>
  <si>
    <t>Individuo</t>
  </si>
  <si>
    <t>Nro_Fruto</t>
  </si>
  <si>
    <t>Fecha_colecta</t>
  </si>
  <si>
    <t>Fecha_caracterización</t>
  </si>
  <si>
    <t>Peso</t>
  </si>
  <si>
    <t>Diam_mayor</t>
  </si>
  <si>
    <t>Largo_BA</t>
  </si>
  <si>
    <t>Largo_ADiam</t>
  </si>
  <si>
    <t>Dureza</t>
  </si>
  <si>
    <t>Penet</t>
  </si>
  <si>
    <t>Huesos</t>
  </si>
  <si>
    <t>Nro_huesos</t>
  </si>
  <si>
    <t>Color_semilla</t>
  </si>
  <si>
    <t>Nro_loc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</si>
</sst>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2" fontId="1" fillId="0" borderId="4" xfId="0" applyNumberFormat="1" applyFont="1" applyBorder="1"/>
    <xf numFmtId="0" fontId="1" fillId="0" borderId="5" xfId="0" applyFont="1" applyBorder="1"/>
    <xf numFmtId="2" fontId="1" fillId="0" borderId="5" xfId="0" applyNumberFormat="1" applyFont="1" applyBorder="1"/>
    <xf numFmtId="164" fontId="1" fillId="0" borderId="5" xfId="0" applyNumberFormat="1" applyFont="1" applyBorder="1"/>
    <xf numFmtId="2" fontId="1" fillId="0" borderId="3" xfId="0" applyNumberFormat="1" applyFont="1" applyBorder="1"/>
    <xf numFmtId="2" fontId="1" fillId="0" borderId="0" xfId="0" applyNumberFormat="1" applyFont="1"/>
    <xf numFmtId="2" fontId="0" fillId="0" borderId="0" xfId="0" applyNumberFormat="1"/>
    <xf numFmtId="0" fontId="3" fillId="0" borderId="0" xfId="0" applyFont="1"/>
    <xf numFmtId="0" fontId="3" fillId="0" borderId="4" xfId="0" applyFont="1" applyBorder="1"/>
    <xf numFmtId="0" fontId="4" fillId="0" borderId="3" xfId="0" applyFont="1" applyBorder="1"/>
    <xf numFmtId="0" fontId="4" fillId="0" borderId="5" xfId="0" applyFont="1" applyBorder="1"/>
    <xf numFmtId="0" fontId="5" fillId="0" borderId="0" xfId="0" applyFont="1"/>
    <xf numFmtId="0" fontId="4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4" fillId="0" borderId="10" xfId="0" applyFont="1" applyBorder="1"/>
    <xf numFmtId="2" fontId="1" fillId="0" borderId="10" xfId="0" applyNumberFormat="1" applyFont="1" applyBorder="1"/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5B98C5-5156-4DD6-8389-32DED22A79B4}" name="Tabla1" displayName="Tabla1" ref="A1:BH82" totalsRowShown="0" headerRowDxfId="62" dataDxfId="61" tableBorderDxfId="60">
  <autoFilter ref="A1:BH82" xr:uid="{D15B98C5-5156-4DD6-8389-32DED22A79B4}"/>
  <tableColumns count="60">
    <tableColumn id="1" xr3:uid="{83C481BF-2FF3-4EAF-BF61-B73E1B7E906A}" name="Punto" dataDxfId="59"/>
    <tableColumn id="2" xr3:uid="{21B3BCB1-5B3D-4BBA-9381-6B2BEBEF90D6}" name="lat" dataDxfId="58"/>
    <tableColumn id="3" xr3:uid="{139C2AC3-90B9-4C6A-9A74-9E26D67925E5}" name="long" dataDxfId="57"/>
    <tableColumn id="4" xr3:uid="{3BCD4FA2-7B9B-4517-9105-F197811EFFBA}" name="Individuo" dataDxfId="56"/>
    <tableColumn id="5" xr3:uid="{768DFBAA-02C6-4199-885D-74D5A54310A6}" name="Nro_Fruto" dataDxfId="55"/>
    <tableColumn id="6" xr3:uid="{0794F9A1-2D76-461E-ABC8-C7F33DCF0481}" name="Fecha_colecta" dataDxfId="54"/>
    <tableColumn id="7" xr3:uid="{38B37E70-1F1E-425D-9460-0BC9B3EE57A2}" name="Fecha_caracterización" dataDxfId="53"/>
    <tableColumn id="8" xr3:uid="{A45AA94A-A138-42BD-965E-43A1FFEFDCF8}" name="Peso" dataDxfId="52"/>
    <tableColumn id="9" xr3:uid="{F3BFB38E-F06D-45F9-8DDC-7EF4F56B81A8}" name="Largo_BA" dataDxfId="51"/>
    <tableColumn id="10" xr3:uid="{CD18C94D-F55A-42E5-81EC-83B0D0089138}" name="Diam_mayor" dataDxfId="50"/>
    <tableColumn id="11" xr3:uid="{825101E9-250E-4444-8037-7DE48BC2BFE3}" name="Largo_ADiam" dataDxfId="49"/>
    <tableColumn id="12" xr3:uid="{DDCAAF58-90FF-4014-9E56-6F3B2FD5D67F}" name="Punta" dataDxfId="48"/>
    <tableColumn id="13" xr3:uid="{0DA7C9D9-1083-4D47-B2EE-F0B4F00C32F7}" name="Color" dataDxfId="47"/>
    <tableColumn id="14" xr3:uid="{663298E8-D8F7-4D64-868E-36DC0A0E483A}" name="Vetas" dataDxfId="46"/>
    <tableColumn id="15" xr3:uid="{DF5B935D-369A-401D-A732-BA3361790921}" name="Sanidad" dataDxfId="45"/>
    <tableColumn id="16" xr3:uid="{AB50CFAB-015D-4946-83A4-0C73EEAF239E}" name="Forma" dataDxfId="44"/>
    <tableColumn id="17" xr3:uid="{3FE76A65-A660-40B4-A460-1C807278EE55}" name="Pedúnculo" dataDxfId="43"/>
    <tableColumn id="18" xr3:uid="{91985CAA-0846-4E98-8278-5937382A8F1F}" name="Arrugas" dataDxfId="42"/>
    <tableColumn id="19" xr3:uid="{005B8BB8-AD14-4334-8C50-9A781C560996}" name="x1" dataDxfId="41"/>
    <tableColumn id="20" xr3:uid="{C994F8A8-36E9-483E-9483-289A0E25E7EA}" name="x2" dataDxfId="40"/>
    <tableColumn id="21" xr3:uid="{ED2A9F2C-BEE8-4DC9-83D0-94FC9E1598AD}" name="x3" dataDxfId="39"/>
    <tableColumn id="22" xr3:uid="{715D7EDB-7A5D-4412-96A6-3556D7A58290}" name="X" dataDxfId="38">
      <calculatedColumnFormula>AVERAGE(S2:U2)</calculatedColumnFormula>
    </tableColumn>
    <tableColumn id="23" xr3:uid="{A6081FBE-CC44-4114-A06F-8960856F0EB4}" name="y1" dataDxfId="37"/>
    <tableColumn id="24" xr3:uid="{5C6E6693-C118-4BFF-904D-B8D64F004123}" name="y2" dataDxfId="36"/>
    <tableColumn id="25" xr3:uid="{DB46992E-D2A8-4F72-AC04-B6423F55AB1D}" name="y3" dataDxfId="35"/>
    <tableColumn id="26" xr3:uid="{75026DE1-B326-40EE-AC0C-BE09C57DD31D}" name="Y" dataDxfId="34">
      <calculatedColumnFormula>AVERAGE(W2:Y2)</calculatedColumnFormula>
    </tableColumn>
    <tableColumn id="27" xr3:uid="{64A88805-6458-4D97-9890-10E6ECFF4652}" name="z1" dataDxfId="33"/>
    <tableColumn id="28" xr3:uid="{878DE2AF-713E-401A-A4D2-6E05519A7F7B}" name="z2" dataDxfId="32"/>
    <tableColumn id="29" xr3:uid="{CE4CEA67-EBB0-4FF0-8263-F16933642CA7}" name="z3" dataDxfId="31"/>
    <tableColumn id="30" xr3:uid="{8CB6C51A-A69F-4BB5-9523-C8AE6908706A}" name="Z" dataDxfId="30">
      <calculatedColumnFormula>AVERAGE(AA2:AC2)</calculatedColumnFormula>
    </tableColumn>
    <tableColumn id="31" xr3:uid="{162ACF2A-3D0E-4672-A8AC-8357E76D1FC4}" name="a1" dataDxfId="29">
      <calculatedColumnFormula>500*(SQRT(S2/98.04)-SQRT(W2/100))</calculatedColumnFormula>
    </tableColumn>
    <tableColumn id="32" xr3:uid="{AD7C6F35-3D22-4BAE-9A6B-FD2123DE65EE}" name="a2" dataDxfId="28">
      <calculatedColumnFormula>500*(SQRT(T2/98.04)-SQRT(X2/100))</calculatedColumnFormula>
    </tableColumn>
    <tableColumn id="33" xr3:uid="{566A4A86-1479-465B-8E19-67EC5B2346C4}" name="a3" dataDxfId="27">
      <calculatedColumnFormula>500*(SQRT(U2/98.04)-SQRT(Y2/100))</calculatedColumnFormula>
    </tableColumn>
    <tableColumn id="34" xr3:uid="{91EE83BA-0F20-420A-931E-B8963D13DF9F}" name="b1" dataDxfId="26">
      <calculatedColumnFormula>200*(SQRT(W2/100)-SQRT(AA2/118.11))</calculatedColumnFormula>
    </tableColumn>
    <tableColumn id="35" xr3:uid="{3D25CCB0-8FA9-4AB5-8B29-A5019AC816C8}" name="b2" dataDxfId="25">
      <calculatedColumnFormula>200*(SQRT(X2/100)-SQRT(AB2/118.11))</calculatedColumnFormula>
    </tableColumn>
    <tableColumn id="36" xr3:uid="{3C18F5EE-F8B3-4E13-89D8-D37311325A0D}" name="b3" dataDxfId="24">
      <calculatedColumnFormula>200*(SQRT(Y2/100)-SQRT(AC2/118.11))</calculatedColumnFormula>
    </tableColumn>
    <tableColumn id="37" xr3:uid="{37482AE6-E54F-41D7-A123-709D80652653}" name="L1" dataDxfId="23">
      <calculatedColumnFormula>116*SQRT(W2/100)-16</calculatedColumnFormula>
    </tableColumn>
    <tableColumn id="38" xr3:uid="{5ECDC7DF-AE0B-4D8E-9A3F-B958417648A5}" name="L2" dataDxfId="22">
      <calculatedColumnFormula>116*SQRT(X2/100)-16</calculatedColumnFormula>
    </tableColumn>
    <tableColumn id="39" xr3:uid="{0AC8F807-D627-4B77-997B-4F8E20392E3B}" name="L3" dataDxfId="21">
      <calculatedColumnFormula>116*SQRT(Y2/100)-16</calculatedColumnFormula>
    </tableColumn>
    <tableColumn id="40" xr3:uid="{1CD28600-38F4-4CEC-80C3-8486766F5D1B}" name="a" dataDxfId="20">
      <calculatedColumnFormula>AVERAGE(AE2:AG2)</calculatedColumnFormula>
    </tableColumn>
    <tableColumn id="41" xr3:uid="{916B63E7-86A7-43DE-AFC9-2F40394E301F}" name="b" dataDxfId="19">
      <calculatedColumnFormula>AVERAGE(AH2:AJ2)</calculatedColumnFormula>
    </tableColumn>
    <tableColumn id="42" xr3:uid="{FC402324-CD53-44D8-B465-60DE12879278}" name="LMEDIA" dataDxfId="18">
      <calculatedColumnFormula>AVERAGE(AK2:AM2)</calculatedColumnFormula>
    </tableColumn>
    <tableColumn id="43" xr3:uid="{E0DEBB64-D036-4222-84A7-3CED52FADA43}" name="Chro1" dataDxfId="17">
      <calculatedColumnFormula>+SQRT(POWER(AE2,2)+POWER(AH2,2))</calculatedColumnFormula>
    </tableColumn>
    <tableColumn id="44" xr3:uid="{484C381A-D4D5-44CD-ACA3-2883A375917D}" name="Chro2" dataDxfId="16">
      <calculatedColumnFormula>+SQRT(POWER(AF2,2)+POWER(AI2,2))</calculatedColumnFormula>
    </tableColumn>
    <tableColumn id="45" xr3:uid="{A2835C66-C142-408F-863A-526B73BA1AFA}" name="Chro3" dataDxfId="15">
      <calculatedColumnFormula>+SQRT(POWER(AG2,2)+POWER(AJ2,2))</calculatedColumnFormula>
    </tableColumn>
    <tableColumn id="46" xr3:uid="{BD19D30E-FAE5-4C58-AA33-B1956A8DE409}" name="CHROMA" dataDxfId="14">
      <calculatedColumnFormula>+AVERAGE(AQ2:AS2)</calculatedColumnFormula>
    </tableColumn>
    <tableColumn id="47" xr3:uid="{6D9D25EF-6DED-4D73-9D90-B0F0BB51D3BE}" name="Hue1" dataDxfId="13">
      <calculatedColumnFormula>DEGREES(ATAN(AH2/AE2))</calculatedColumnFormula>
    </tableColumn>
    <tableColumn id="48" xr3:uid="{A903C5D4-F07F-4740-9F70-6EFFF369CBFB}" name="Hue2" dataDxfId="12">
      <calculatedColumnFormula>DEGREES(ATAN(AI2/AF2))</calculatedColumnFormula>
    </tableColumn>
    <tableColumn id="49" xr3:uid="{447E286D-BD1A-46B4-BC29-FEEAB64B0C95}" name="Hue3" dataDxfId="11">
      <calculatedColumnFormula>DEGREES(ATAN(AJ2/AG2))</calculatedColumnFormula>
    </tableColumn>
    <tableColumn id="50" xr3:uid="{D578B680-E1FB-4577-A02D-3C09ADE590E2}" name="HUE" dataDxfId="10">
      <calculatedColumnFormula>+AVERAGE(AU2:AW2)</calculatedColumnFormula>
    </tableColumn>
    <tableColumn id="51" xr3:uid="{B2735C50-0F48-4744-A9B5-BFD17B6A80FE}" name="Espesor Peric." dataDxfId="9"/>
    <tableColumn id="52" xr3:uid="{E4A11921-8C3C-44DB-BE9C-6526037D2C15}" name="Grados brix" dataDxfId="8"/>
    <tableColumn id="53" xr3:uid="{F6CC4E02-3986-4176-8C58-DE1CADB8F294}" name="pH" dataDxfId="7"/>
    <tableColumn id="54" xr3:uid="{B1E8B311-C12C-40CA-AE61-BB904EF6AD38}" name="Dureza" dataDxfId="6"/>
    <tableColumn id="56" xr3:uid="{A96433AE-FD84-421A-ABBA-7A1D61298585}" name="Penet" dataDxfId="5"/>
    <tableColumn id="57" xr3:uid="{DAFC534B-C26D-40D2-A250-DD3816A12A43}" name="Huesos" dataDxfId="4"/>
    <tableColumn id="58" xr3:uid="{11DF380A-D387-46F1-91A7-ABE4B673977D}" name="Nro_huesos" dataDxfId="3"/>
    <tableColumn id="59" xr3:uid="{171C31C1-85FB-4EC9-91D3-96EAF2987F41}" name="Color_semilla" dataDxfId="2"/>
    <tableColumn id="60" xr3:uid="{CA7FEE72-D2E6-4245-8356-AA2AEB974BBE}" name="Nro_loc" dataDxfId="1"/>
    <tableColumn id="61" xr3:uid="{D4986B3F-1071-4CF2-AB5A-2924C3626639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000"/>
  <sheetViews>
    <sheetView tabSelected="1" workbookViewId="0">
      <pane xSplit="5" ySplit="2" topLeftCell="BA3" activePane="bottomRight" state="frozen"/>
      <selection pane="topRight" activeCell="F1" sqref="F1"/>
      <selection pane="bottomLeft" activeCell="A4" sqref="A4"/>
      <selection pane="bottomRight" activeCell="BD10" sqref="BD10"/>
    </sheetView>
  </sheetViews>
  <sheetFormatPr baseColWidth="10" defaultColWidth="12.6640625" defaultRowHeight="15.75" customHeight="1" x14ac:dyDescent="0.25"/>
  <cols>
    <col min="1" max="1" width="8.109375" customWidth="1"/>
    <col min="2" max="2" width="13.33203125" customWidth="1"/>
    <col min="3" max="3" width="13.88671875" customWidth="1"/>
    <col min="4" max="4" width="14.5546875" customWidth="1"/>
    <col min="5" max="5" width="14.109375" customWidth="1"/>
    <col min="6" max="6" width="19.5546875" customWidth="1"/>
    <col min="7" max="7" width="24.6640625" customWidth="1"/>
    <col min="8" max="8" width="10.21875" customWidth="1"/>
    <col min="9" max="9" width="16.77734375" customWidth="1"/>
    <col min="10" max="10" width="16.6640625" customWidth="1"/>
    <col min="11" max="11" width="18.33203125" customWidth="1"/>
    <col min="12" max="12" width="8" customWidth="1"/>
    <col min="13" max="13" width="10.33203125" bestFit="1" customWidth="1"/>
    <col min="14" max="14" width="7.77734375" customWidth="1"/>
    <col min="15" max="15" width="10.33203125" bestFit="1" customWidth="1"/>
    <col min="16" max="16" width="8.44140625" customWidth="1"/>
    <col min="17" max="17" width="12.109375" customWidth="1"/>
    <col min="18" max="18" width="9.88671875" customWidth="1"/>
    <col min="19" max="21" width="6" bestFit="1" customWidth="1"/>
    <col min="22" max="22" width="6" style="18" customWidth="1"/>
    <col min="23" max="25" width="6" bestFit="1" customWidth="1"/>
    <col min="26" max="26" width="6" style="18" customWidth="1"/>
    <col min="27" max="29" width="5" bestFit="1" customWidth="1"/>
    <col min="30" max="30" width="5" style="18" customWidth="1"/>
    <col min="31" max="31" width="5" customWidth="1"/>
    <col min="32" max="40" width="5.5546875" style="13" bestFit="1" customWidth="1"/>
    <col min="41" max="41" width="7.44140625" bestFit="1" customWidth="1"/>
    <col min="42" max="42" width="9.6640625" customWidth="1"/>
    <col min="43" max="45" width="8.21875" customWidth="1"/>
    <col min="46" max="46" width="11" customWidth="1"/>
    <col min="47" max="49" width="7.33203125" customWidth="1"/>
    <col min="50" max="50" width="7.5546875" customWidth="1"/>
    <col min="51" max="51" width="15.6640625" customWidth="1"/>
    <col min="52" max="52" width="13.21875" customWidth="1"/>
    <col min="53" max="53" width="5.33203125" customWidth="1"/>
    <col min="54" max="54" width="16.77734375" customWidth="1"/>
    <col min="55" max="55" width="22.5546875" customWidth="1"/>
    <col min="56" max="56" width="18.33203125" customWidth="1"/>
    <col min="57" max="57" width="13" customWidth="1"/>
    <col min="58" max="58" width="16.77734375" customWidth="1"/>
    <col min="59" max="59" width="13.44140625" customWidth="1"/>
    <col min="60" max="60" width="15.88671875" customWidth="1"/>
  </cols>
  <sheetData>
    <row r="1" spans="1:60" ht="15.75" customHeight="1" x14ac:dyDescent="0.25">
      <c r="A1" s="20" t="s">
        <v>0</v>
      </c>
      <c r="B1" s="14" t="s">
        <v>15</v>
      </c>
      <c r="C1" s="14" t="s">
        <v>16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3" t="s">
        <v>66</v>
      </c>
      <c r="J1" s="6" t="s">
        <v>65</v>
      </c>
      <c r="K1" s="5" t="s">
        <v>67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4" t="s">
        <v>34</v>
      </c>
      <c r="T1" s="4" t="s">
        <v>35</v>
      </c>
      <c r="U1" s="4" t="s">
        <v>36</v>
      </c>
      <c r="V1" s="16" t="s">
        <v>8</v>
      </c>
      <c r="W1" s="4" t="s">
        <v>37</v>
      </c>
      <c r="X1" s="4" t="s">
        <v>38</v>
      </c>
      <c r="Y1" s="4" t="s">
        <v>39</v>
      </c>
      <c r="Z1" s="16" t="s">
        <v>9</v>
      </c>
      <c r="AA1" s="4" t="s">
        <v>31</v>
      </c>
      <c r="AB1" s="4" t="s">
        <v>32</v>
      </c>
      <c r="AC1" s="4" t="s">
        <v>33</v>
      </c>
      <c r="AD1" s="19" t="s">
        <v>10</v>
      </c>
      <c r="AE1" s="5" t="s">
        <v>40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47</v>
      </c>
      <c r="AM1" s="7" t="s">
        <v>48</v>
      </c>
      <c r="AN1" s="7" t="s">
        <v>49</v>
      </c>
      <c r="AO1" s="5" t="s">
        <v>50</v>
      </c>
      <c r="AP1" s="19" t="s">
        <v>51</v>
      </c>
      <c r="AQ1" s="15" t="s">
        <v>52</v>
      </c>
      <c r="AR1" s="15" t="s">
        <v>53</v>
      </c>
      <c r="AS1" s="15" t="s">
        <v>54</v>
      </c>
      <c r="AT1" s="19" t="s">
        <v>55</v>
      </c>
      <c r="AU1" s="15" t="s">
        <v>59</v>
      </c>
      <c r="AV1" s="15" t="s">
        <v>56</v>
      </c>
      <c r="AW1" s="15" t="s">
        <v>57</v>
      </c>
      <c r="AX1" s="19" t="s">
        <v>58</v>
      </c>
      <c r="AY1" s="7" t="s">
        <v>11</v>
      </c>
      <c r="AZ1" s="5" t="s">
        <v>12</v>
      </c>
      <c r="BA1" s="5" t="s">
        <v>13</v>
      </c>
      <c r="BB1" s="5" t="s">
        <v>68</v>
      </c>
      <c r="BC1" s="5" t="s">
        <v>69</v>
      </c>
      <c r="BD1" s="5" t="s">
        <v>70</v>
      </c>
      <c r="BE1" s="5" t="s">
        <v>71</v>
      </c>
      <c r="BF1" s="5" t="s">
        <v>72</v>
      </c>
      <c r="BG1" s="5" t="s">
        <v>73</v>
      </c>
      <c r="BH1" s="2" t="s">
        <v>14</v>
      </c>
    </row>
    <row r="2" spans="1:60" ht="15.75" customHeight="1" x14ac:dyDescent="0.25">
      <c r="A2" s="20">
        <v>725</v>
      </c>
      <c r="B2" s="1"/>
      <c r="C2" s="1"/>
      <c r="D2" s="8">
        <v>2</v>
      </c>
      <c r="E2" s="8">
        <v>1</v>
      </c>
      <c r="F2" s="8" t="s">
        <v>17</v>
      </c>
      <c r="G2" s="8" t="s">
        <v>18</v>
      </c>
      <c r="H2" s="10">
        <v>37.591000000000001</v>
      </c>
      <c r="I2" s="8">
        <v>63.82</v>
      </c>
      <c r="J2" s="8">
        <v>34.229999999999997</v>
      </c>
      <c r="K2" s="8">
        <v>34.19</v>
      </c>
      <c r="L2" s="8">
        <v>2</v>
      </c>
      <c r="M2" s="8">
        <v>6</v>
      </c>
      <c r="N2" s="8" t="s">
        <v>19</v>
      </c>
      <c r="O2" s="8" t="s">
        <v>28</v>
      </c>
      <c r="P2" s="8">
        <v>4</v>
      </c>
      <c r="Q2" s="8" t="s">
        <v>19</v>
      </c>
      <c r="R2" s="8" t="s">
        <v>20</v>
      </c>
      <c r="S2" s="8">
        <v>17.059999999999999</v>
      </c>
      <c r="T2" s="8">
        <v>17.670000000000002</v>
      </c>
      <c r="U2" s="8">
        <v>14.82</v>
      </c>
      <c r="V2" s="17">
        <f>AVERAGE(S2:U2)</f>
        <v>16.516666666666669</v>
      </c>
      <c r="W2" s="8">
        <v>11.64</v>
      </c>
      <c r="X2" s="8">
        <v>11.9</v>
      </c>
      <c r="Y2" s="8">
        <v>9.92</v>
      </c>
      <c r="Z2" s="17">
        <f>AVERAGE(W2:Y2)</f>
        <v>11.153333333333334</v>
      </c>
      <c r="AA2" s="8">
        <v>7.13</v>
      </c>
      <c r="AB2" s="8">
        <v>6.98</v>
      </c>
      <c r="AC2" s="8">
        <v>6.76</v>
      </c>
      <c r="AD2" s="17">
        <f>AVERAGE(AA2:AC2)</f>
        <v>6.9566666666666661</v>
      </c>
      <c r="AE2" s="8">
        <f>500*(SQRT(S2/98.04)-SQRT(W2/100))</f>
        <v>37.985672589443546</v>
      </c>
      <c r="AF2" s="9">
        <f>500*(SQRT(T2/98.04)-SQRT(X2/100))</f>
        <v>39.787143213497579</v>
      </c>
      <c r="AG2" s="9">
        <f>500*(SQRT(U2/98.04)-SQRT(Y2/100))</f>
        <v>36.918139000002014</v>
      </c>
      <c r="AH2" s="9">
        <f>200*(SQRT(W2/100)-SQRT(AA2/118.11))</f>
        <v>19.095310063384069</v>
      </c>
      <c r="AI2" s="9">
        <f>200*(SQRT(X2/100)-SQRT(AB2/118.11))</f>
        <v>20.372818430576302</v>
      </c>
      <c r="AJ2" s="9">
        <f>200*(SQRT(Y2/100)-SQRT(AC2/118.11))</f>
        <v>15.144479506100577</v>
      </c>
      <c r="AK2" s="9">
        <f>116*SQRT(W2/100)-16</f>
        <v>23.576235293418193</v>
      </c>
      <c r="AL2" s="9">
        <f>116*SQRT(X2/100)-16</f>
        <v>24.01579688073199</v>
      </c>
      <c r="AM2" s="9">
        <f>116*SQRT(Y2/100)-16</f>
        <v>20.535396535414804</v>
      </c>
      <c r="AN2" s="9">
        <f>AVERAGE(AE2:AG2)</f>
        <v>38.230318267647711</v>
      </c>
      <c r="AO2" s="9">
        <f>AVERAGE(AH2:AJ2)</f>
        <v>18.204202666686982</v>
      </c>
      <c r="AP2" s="9">
        <f>AVERAGE(AK2:AM2)</f>
        <v>22.709142903188326</v>
      </c>
      <c r="AQ2" s="9">
        <f>+SQRT(POWER(AE2,2)+POWER(AH2,2))</f>
        <v>42.51519949958108</v>
      </c>
      <c r="AR2" s="9">
        <f>+SQRT(POWER(AF2,2)+POWER(AI2,2))</f>
        <v>44.699759461283413</v>
      </c>
      <c r="AS2" s="9">
        <f>+SQRT(POWER(AG2,2)+POWER(AJ2,2))</f>
        <v>39.903687132070516</v>
      </c>
      <c r="AT2" s="9">
        <f>+AVERAGE(AQ2:AS2)</f>
        <v>42.372882030978339</v>
      </c>
      <c r="AU2" s="9">
        <f>DEGREES(ATAN(AH2/AE2))</f>
        <v>26.688570940014152</v>
      </c>
      <c r="AV2" s="9">
        <f>DEGREES(ATAN(AI2/AF2))</f>
        <v>27.11450138188038</v>
      </c>
      <c r="AW2" s="9">
        <f>DEGREES(ATAN(AJ2/AG2))</f>
        <v>22.304313840072979</v>
      </c>
      <c r="AX2" s="9">
        <f>+AVERAGE(AU2:AW2)</f>
        <v>25.369128720655837</v>
      </c>
      <c r="AY2" s="9">
        <v>5.94</v>
      </c>
      <c r="AZ2" s="8">
        <v>10</v>
      </c>
      <c r="BA2" s="8">
        <v>3.17</v>
      </c>
      <c r="BB2" s="8"/>
      <c r="BC2" s="8"/>
      <c r="BD2" s="8" t="s">
        <v>19</v>
      </c>
      <c r="BE2" s="8">
        <v>3</v>
      </c>
      <c r="BF2" s="8">
        <v>2</v>
      </c>
      <c r="BG2" s="8">
        <v>2</v>
      </c>
      <c r="BH2" s="21"/>
    </row>
    <row r="3" spans="1:60" ht="15.75" customHeight="1" x14ac:dyDescent="0.25">
      <c r="A3" s="20">
        <v>725</v>
      </c>
      <c r="B3" s="1"/>
      <c r="C3" s="1"/>
      <c r="D3" s="4">
        <v>2</v>
      </c>
      <c r="E3" s="4">
        <v>2</v>
      </c>
      <c r="F3" s="8" t="s">
        <v>17</v>
      </c>
      <c r="G3" s="8" t="s">
        <v>18</v>
      </c>
      <c r="H3" s="4">
        <v>33.8093</v>
      </c>
      <c r="I3" s="4">
        <v>60.16</v>
      </c>
      <c r="J3" s="4">
        <v>34.36</v>
      </c>
      <c r="K3" s="4">
        <v>38.61</v>
      </c>
      <c r="L3" s="4">
        <v>1</v>
      </c>
      <c r="M3" s="4">
        <v>6</v>
      </c>
      <c r="N3" s="4" t="s">
        <v>19</v>
      </c>
      <c r="O3" s="4" t="s">
        <v>27</v>
      </c>
      <c r="P3" s="4">
        <v>4</v>
      </c>
      <c r="Q3" s="4" t="s">
        <v>19</v>
      </c>
      <c r="R3" s="4" t="s">
        <v>20</v>
      </c>
      <c r="S3" s="4">
        <v>14.78</v>
      </c>
      <c r="T3" s="4">
        <v>14.36</v>
      </c>
      <c r="U3" s="4">
        <v>13.43</v>
      </c>
      <c r="V3" s="17">
        <f t="shared" ref="V3:V66" si="0">AVERAGE(S3:U3)</f>
        <v>14.19</v>
      </c>
      <c r="W3" s="4">
        <v>9.84</v>
      </c>
      <c r="X3" s="4">
        <v>9.66</v>
      </c>
      <c r="Y3" s="4">
        <v>9.0500000000000007</v>
      </c>
      <c r="Z3" s="17">
        <f t="shared" ref="Z3:Z66" si="1">AVERAGE(W3:Y3)</f>
        <v>9.5166666666666675</v>
      </c>
      <c r="AA3" s="4">
        <v>5.89</v>
      </c>
      <c r="AB3" s="4">
        <v>5.89</v>
      </c>
      <c r="AC3" s="4">
        <v>5.81</v>
      </c>
      <c r="AD3" s="17">
        <f t="shared" ref="AD3:AD66" si="2">AVERAGE(AA3:AC3)</f>
        <v>5.8633333333333333</v>
      </c>
      <c r="AE3" s="8">
        <f t="shared" ref="AE3:AE66" si="3">500*(SQRT(S3/98.04)-SQRT(W3/100))</f>
        <v>37.291901926656294</v>
      </c>
      <c r="AF3" s="9">
        <f t="shared" ref="AF3:AF66" si="4">500*(SQRT(T3/98.04)-SQRT(X3/100))</f>
        <v>35.954834560239121</v>
      </c>
      <c r="AG3" s="9">
        <f t="shared" ref="AG3:AG66" si="5">500*(SQRT(U3/98.04)-SQRT(Y3/100))</f>
        <v>34.641269192288746</v>
      </c>
      <c r="AH3" s="9">
        <f t="shared" ref="AH3:AH66" si="6">200*(SQRT(W3/100)-SQRT(AA3/118.11))</f>
        <v>18.074917024422959</v>
      </c>
      <c r="AI3" s="9">
        <f t="shared" ref="AI3:AI66" si="7">200*(SQRT(X3/100)-SQRT(AB3/118.11))</f>
        <v>17.498449530670683</v>
      </c>
      <c r="AJ3" s="9">
        <f t="shared" ref="AJ3:AJ66" si="8">200*(SQRT(Y3/100)-SQRT(AC3/118.11))</f>
        <v>15.808152849187767</v>
      </c>
      <c r="AK3" s="9">
        <f t="shared" ref="AK3:AK66" si="9">116*SQRT(W3/100)-16</f>
        <v>20.387778167950842</v>
      </c>
      <c r="AL3" s="9">
        <f t="shared" ref="AL3:AL66" si="10">116*SQRT(X3/100)-16</f>
        <v>20.053427021574521</v>
      </c>
      <c r="AM3" s="9">
        <f t="shared" ref="AM3:AM66" si="11">116*SQRT(Y3/100)-16</f>
        <v>18.896532779059868</v>
      </c>
      <c r="AN3" s="9">
        <f t="shared" ref="AN3:AN66" si="12">AVERAGE(AE3:AG3)</f>
        <v>35.962668559728051</v>
      </c>
      <c r="AO3" s="9">
        <f t="shared" ref="AO3:AO66" si="13">AVERAGE(AH3:AJ3)</f>
        <v>17.127173134760469</v>
      </c>
      <c r="AP3" s="9">
        <f t="shared" ref="AP3:AP66" si="14">AVERAGE(AK3:AM3)</f>
        <v>19.779245989528409</v>
      </c>
      <c r="AQ3" s="9">
        <f t="shared" ref="AQ3:AQ66" si="15">+SQRT(POWER(AE3,2)+POWER(AH3,2))</f>
        <v>41.441387220351665</v>
      </c>
      <c r="AR3" s="9">
        <f t="shared" ref="AR3:AR66" si="16">+SQRT(POWER(AF3,2)+POWER(AI3,2))</f>
        <v>39.986821131862861</v>
      </c>
      <c r="AS3" s="9">
        <f t="shared" ref="AS3:AS66" si="17">+SQRT(POWER(AG3,2)+POWER(AJ3,2))</f>
        <v>38.077752398952029</v>
      </c>
      <c r="AT3" s="9">
        <f t="shared" ref="AT3:AT66" si="18">+AVERAGE(AQ3:AS3)</f>
        <v>39.835320250388854</v>
      </c>
      <c r="AU3" s="9">
        <f t="shared" ref="AU3:AU66" si="19">DEGREES(ATAN(AH3/AE3))</f>
        <v>25.858886065318757</v>
      </c>
      <c r="AV3" s="9">
        <f t="shared" ref="AV3:AV66" si="20">DEGREES(ATAN(AI3/AF3))</f>
        <v>25.951196843417321</v>
      </c>
      <c r="AW3" s="9">
        <f t="shared" ref="AW3:AW66" si="21">DEGREES(ATAN(AJ3/AG3))</f>
        <v>24.529050745004689</v>
      </c>
      <c r="AX3" s="9">
        <f t="shared" ref="AX3:AX66" si="22">+AVERAGE(AU3:AW3)</f>
        <v>25.446377884580254</v>
      </c>
      <c r="AY3" s="11">
        <v>6.07</v>
      </c>
      <c r="AZ3" s="4">
        <v>8.6</v>
      </c>
      <c r="BA3" s="4">
        <v>3.86</v>
      </c>
      <c r="BB3" s="4"/>
      <c r="BC3" s="4"/>
      <c r="BD3" s="8" t="s">
        <v>19</v>
      </c>
      <c r="BE3" s="4">
        <v>4</v>
      </c>
      <c r="BF3" s="8">
        <v>2</v>
      </c>
      <c r="BG3" s="4">
        <v>2</v>
      </c>
      <c r="BH3" s="22"/>
    </row>
    <row r="4" spans="1:60" ht="15.75" customHeight="1" x14ac:dyDescent="0.25">
      <c r="A4" s="20">
        <v>725</v>
      </c>
      <c r="B4" s="1"/>
      <c r="C4" s="1"/>
      <c r="D4" s="4">
        <v>2</v>
      </c>
      <c r="E4" s="4">
        <v>3</v>
      </c>
      <c r="F4" s="8" t="s">
        <v>17</v>
      </c>
      <c r="G4" s="8" t="s">
        <v>18</v>
      </c>
      <c r="H4" s="4">
        <v>33.020400000000002</v>
      </c>
      <c r="I4" s="4">
        <v>60.02</v>
      </c>
      <c r="J4" s="4">
        <v>34.340000000000003</v>
      </c>
      <c r="K4" s="4">
        <v>35.96</v>
      </c>
      <c r="L4" s="4">
        <v>5</v>
      </c>
      <c r="M4" s="4">
        <v>6</v>
      </c>
      <c r="N4" s="4" t="s">
        <v>19</v>
      </c>
      <c r="O4" s="4" t="s">
        <v>27</v>
      </c>
      <c r="P4" s="4">
        <v>4</v>
      </c>
      <c r="Q4" s="4" t="s">
        <v>19</v>
      </c>
      <c r="R4" s="4" t="s">
        <v>20</v>
      </c>
      <c r="S4" s="4">
        <v>13.06</v>
      </c>
      <c r="T4" s="4">
        <v>14.69</v>
      </c>
      <c r="U4" s="4">
        <v>13.79</v>
      </c>
      <c r="V4" s="17">
        <f t="shared" si="0"/>
        <v>13.846666666666666</v>
      </c>
      <c r="W4" s="4">
        <v>8.7200000000000006</v>
      </c>
      <c r="X4" s="4">
        <v>9.81</v>
      </c>
      <c r="Y4" s="4">
        <v>9.07</v>
      </c>
      <c r="Z4" s="17">
        <f t="shared" si="1"/>
        <v>9.2000000000000011</v>
      </c>
      <c r="AA4" s="4">
        <v>5.9</v>
      </c>
      <c r="AB4" s="4">
        <v>6.13</v>
      </c>
      <c r="AC4" s="4">
        <v>6</v>
      </c>
      <c r="AD4" s="17">
        <f t="shared" si="2"/>
        <v>6.0100000000000007</v>
      </c>
      <c r="AE4" s="8">
        <f t="shared" si="3"/>
        <v>34.84213511084927</v>
      </c>
      <c r="AF4" s="9">
        <f t="shared" si="4"/>
        <v>36.93919670343071</v>
      </c>
      <c r="AG4" s="9">
        <f t="shared" si="5"/>
        <v>36.939045162234422</v>
      </c>
      <c r="AH4" s="9">
        <f t="shared" si="6"/>
        <v>14.358762830109029</v>
      </c>
      <c r="AI4" s="9">
        <f t="shared" si="7"/>
        <v>17.078357857133447</v>
      </c>
      <c r="AJ4" s="9">
        <f t="shared" si="8"/>
        <v>15.155125629385518</v>
      </c>
      <c r="AK4" s="9">
        <f t="shared" si="9"/>
        <v>18.254389499741492</v>
      </c>
      <c r="AL4" s="9">
        <f t="shared" si="10"/>
        <v>20.332266651008716</v>
      </c>
      <c r="AM4" s="9">
        <f t="shared" si="11"/>
        <v>18.935071203591384</v>
      </c>
      <c r="AN4" s="9">
        <f t="shared" si="12"/>
        <v>36.240125658838132</v>
      </c>
      <c r="AO4" s="9">
        <f t="shared" si="13"/>
        <v>15.53074877220933</v>
      </c>
      <c r="AP4" s="9">
        <f t="shared" si="14"/>
        <v>19.173909118113865</v>
      </c>
      <c r="AQ4" s="9">
        <f t="shared" si="15"/>
        <v>37.684857026317566</v>
      </c>
      <c r="AR4" s="9">
        <f t="shared" si="16"/>
        <v>40.696124633569937</v>
      </c>
      <c r="AS4" s="9">
        <f t="shared" si="17"/>
        <v>39.927069643789942</v>
      </c>
      <c r="AT4" s="9">
        <f t="shared" si="18"/>
        <v>39.436017101225815</v>
      </c>
      <c r="AU4" s="9">
        <f t="shared" si="19"/>
        <v>22.397007384725956</v>
      </c>
      <c r="AV4" s="9">
        <f t="shared" si="20"/>
        <v>24.812847939394622</v>
      </c>
      <c r="AW4" s="9">
        <f t="shared" si="21"/>
        <v>22.30706212157201</v>
      </c>
      <c r="AX4" s="9">
        <f t="shared" si="22"/>
        <v>23.172305815230867</v>
      </c>
      <c r="AY4" s="11">
        <v>6.24</v>
      </c>
      <c r="AZ4" s="4">
        <v>8.8000000000000007</v>
      </c>
      <c r="BA4" s="4">
        <v>3.49</v>
      </c>
      <c r="BB4" s="4"/>
      <c r="BC4" s="4"/>
      <c r="BD4" s="8" t="s">
        <v>19</v>
      </c>
      <c r="BE4" s="4">
        <v>4</v>
      </c>
      <c r="BF4" s="8">
        <v>2</v>
      </c>
      <c r="BG4" s="4">
        <v>2</v>
      </c>
      <c r="BH4" s="22"/>
    </row>
    <row r="5" spans="1:60" ht="15.75" customHeight="1" x14ac:dyDescent="0.25">
      <c r="A5" s="20">
        <v>725</v>
      </c>
      <c r="B5" s="1"/>
      <c r="C5" s="1"/>
      <c r="D5" s="4">
        <v>2</v>
      </c>
      <c r="E5" s="4">
        <v>4</v>
      </c>
      <c r="F5" s="8" t="s">
        <v>17</v>
      </c>
      <c r="G5" s="8" t="s">
        <v>18</v>
      </c>
      <c r="H5" s="4">
        <v>35.883899999999997</v>
      </c>
      <c r="I5" s="4">
        <v>60.42</v>
      </c>
      <c r="J5" s="4">
        <v>35.19</v>
      </c>
      <c r="K5" s="4">
        <v>39.01</v>
      </c>
      <c r="L5" s="4">
        <v>4</v>
      </c>
      <c r="M5" s="4">
        <v>6</v>
      </c>
      <c r="N5" s="4" t="s">
        <v>19</v>
      </c>
      <c r="O5" s="4" t="s">
        <v>27</v>
      </c>
      <c r="P5" s="4">
        <v>5</v>
      </c>
      <c r="Q5" s="4" t="s">
        <v>19</v>
      </c>
      <c r="R5" s="4" t="s">
        <v>20</v>
      </c>
      <c r="S5" s="4">
        <v>13.3</v>
      </c>
      <c r="T5" s="4">
        <v>14.43</v>
      </c>
      <c r="U5" s="4">
        <v>10.55</v>
      </c>
      <c r="V5" s="17">
        <f t="shared" si="0"/>
        <v>12.76</v>
      </c>
      <c r="W5" s="4">
        <v>9.0299999999999994</v>
      </c>
      <c r="X5" s="4">
        <v>9.6300000000000008</v>
      </c>
      <c r="Y5" s="4">
        <v>7.71</v>
      </c>
      <c r="Z5" s="17">
        <f t="shared" si="1"/>
        <v>8.7900000000000009</v>
      </c>
      <c r="AA5" s="4">
        <v>6.4</v>
      </c>
      <c r="AB5" s="4">
        <v>6.32</v>
      </c>
      <c r="AC5" s="4">
        <v>5.99</v>
      </c>
      <c r="AD5" s="17">
        <f t="shared" si="2"/>
        <v>6.2366666666666672</v>
      </c>
      <c r="AE5" s="8">
        <f t="shared" si="3"/>
        <v>33.909727648919642</v>
      </c>
      <c r="AF5" s="9">
        <f t="shared" si="4"/>
        <v>36.662164426197961</v>
      </c>
      <c r="AG5" s="9">
        <f t="shared" si="5"/>
        <v>25.184726031534073</v>
      </c>
      <c r="AH5" s="9">
        <f t="shared" si="6"/>
        <v>13.543810851174554</v>
      </c>
      <c r="AI5" s="9">
        <f t="shared" si="7"/>
        <v>15.800267331706724</v>
      </c>
      <c r="AJ5" s="9">
        <f t="shared" si="8"/>
        <v>10.493598213061295</v>
      </c>
      <c r="AK5" s="9">
        <f t="shared" si="9"/>
        <v>18.857951747054784</v>
      </c>
      <c r="AL5" s="9">
        <f t="shared" si="10"/>
        <v>19.997399906104334</v>
      </c>
      <c r="AM5" s="9">
        <f t="shared" si="11"/>
        <v>16.209588634442383</v>
      </c>
      <c r="AN5" s="9">
        <f t="shared" si="12"/>
        <v>31.918872702217225</v>
      </c>
      <c r="AO5" s="9">
        <f t="shared" si="13"/>
        <v>13.279225465314191</v>
      </c>
      <c r="AP5" s="9">
        <f t="shared" si="14"/>
        <v>18.354980095867166</v>
      </c>
      <c r="AQ5" s="9">
        <f t="shared" si="15"/>
        <v>36.514441548465435</v>
      </c>
      <c r="AR5" s="9">
        <f t="shared" si="16"/>
        <v>39.921958220595513</v>
      </c>
      <c r="AS5" s="9">
        <f t="shared" si="17"/>
        <v>27.283438726461757</v>
      </c>
      <c r="AT5" s="9">
        <f t="shared" si="18"/>
        <v>34.573279498507567</v>
      </c>
      <c r="AU5" s="9">
        <f t="shared" si="19"/>
        <v>21.772154681235794</v>
      </c>
      <c r="AV5" s="9">
        <f t="shared" si="20"/>
        <v>23.314558760810893</v>
      </c>
      <c r="AW5" s="9">
        <f t="shared" si="21"/>
        <v>22.619791996409475</v>
      </c>
      <c r="AX5" s="9">
        <f t="shared" si="22"/>
        <v>22.568835146152054</v>
      </c>
      <c r="AY5" s="11">
        <v>4.99</v>
      </c>
      <c r="AZ5" s="4">
        <v>10</v>
      </c>
      <c r="BA5" s="4">
        <v>3.36</v>
      </c>
      <c r="BB5" s="4"/>
      <c r="BC5" s="4"/>
      <c r="BD5" s="8" t="s">
        <v>20</v>
      </c>
      <c r="BE5" s="4">
        <v>0</v>
      </c>
      <c r="BF5" s="8">
        <v>2</v>
      </c>
      <c r="BG5" s="4">
        <v>2</v>
      </c>
      <c r="BH5" s="22"/>
    </row>
    <row r="6" spans="1:60" ht="15.75" customHeight="1" x14ac:dyDescent="0.25">
      <c r="A6" s="20">
        <v>725</v>
      </c>
      <c r="B6" s="1"/>
      <c r="C6" s="1"/>
      <c r="D6" s="4">
        <v>2</v>
      </c>
      <c r="E6" s="4">
        <v>5</v>
      </c>
      <c r="F6" s="8" t="s">
        <v>17</v>
      </c>
      <c r="G6" s="8" t="s">
        <v>18</v>
      </c>
      <c r="H6" s="4">
        <v>27.523</v>
      </c>
      <c r="I6" s="4">
        <v>55.02</v>
      </c>
      <c r="J6" s="4">
        <v>31.78</v>
      </c>
      <c r="K6" s="4">
        <v>35.93</v>
      </c>
      <c r="L6" s="4">
        <v>2</v>
      </c>
      <c r="M6" s="4">
        <v>6</v>
      </c>
      <c r="N6" s="4" t="s">
        <v>19</v>
      </c>
      <c r="O6" s="4" t="s">
        <v>28</v>
      </c>
      <c r="P6" s="4">
        <v>4</v>
      </c>
      <c r="Q6" s="4" t="s">
        <v>19</v>
      </c>
      <c r="R6" s="4" t="s">
        <v>20</v>
      </c>
      <c r="S6" s="4">
        <v>10.55</v>
      </c>
      <c r="T6" s="4">
        <v>15.33</v>
      </c>
      <c r="U6" s="4">
        <v>12.41</v>
      </c>
      <c r="V6" s="17">
        <f t="shared" si="0"/>
        <v>12.763333333333335</v>
      </c>
      <c r="W6" s="4">
        <v>7.71</v>
      </c>
      <c r="X6" s="4">
        <v>10.9</v>
      </c>
      <c r="Y6" s="4">
        <v>8.33</v>
      </c>
      <c r="Z6" s="17">
        <f t="shared" si="1"/>
        <v>8.9799999999999986</v>
      </c>
      <c r="AA6" s="4">
        <v>5.99</v>
      </c>
      <c r="AB6" s="4">
        <v>6.51</v>
      </c>
      <c r="AC6" s="4">
        <v>5.37</v>
      </c>
      <c r="AD6" s="17">
        <f t="shared" si="2"/>
        <v>5.956666666666667</v>
      </c>
      <c r="AE6" s="8">
        <f t="shared" si="3"/>
        <v>25.184726031534073</v>
      </c>
      <c r="AF6" s="9">
        <f t="shared" si="4"/>
        <v>32.639173940510496</v>
      </c>
      <c r="AG6" s="9">
        <f t="shared" si="5"/>
        <v>33.582412600245995</v>
      </c>
      <c r="AH6" s="9">
        <f t="shared" si="6"/>
        <v>10.493598213061295</v>
      </c>
      <c r="AI6" s="9">
        <f t="shared" si="7"/>
        <v>19.07580311348908</v>
      </c>
      <c r="AJ6" s="9">
        <f t="shared" si="8"/>
        <v>15.07792052232826</v>
      </c>
      <c r="AK6" s="9">
        <f t="shared" si="9"/>
        <v>16.209588634442383</v>
      </c>
      <c r="AL6" s="9">
        <f t="shared" si="10"/>
        <v>22.297571724588494</v>
      </c>
      <c r="AM6" s="9">
        <f t="shared" si="11"/>
        <v>17.479617680015409</v>
      </c>
      <c r="AN6" s="9">
        <f t="shared" si="12"/>
        <v>30.46877085743019</v>
      </c>
      <c r="AO6" s="9">
        <f t="shared" si="13"/>
        <v>14.882440616292877</v>
      </c>
      <c r="AP6" s="9">
        <f t="shared" si="14"/>
        <v>18.662259346348762</v>
      </c>
      <c r="AQ6" s="9">
        <f t="shared" si="15"/>
        <v>27.283438726461757</v>
      </c>
      <c r="AR6" s="9">
        <f t="shared" si="16"/>
        <v>37.804787262243643</v>
      </c>
      <c r="AS6" s="9">
        <f t="shared" si="17"/>
        <v>36.811983420223484</v>
      </c>
      <c r="AT6" s="9">
        <f t="shared" si="18"/>
        <v>33.96673646964296</v>
      </c>
      <c r="AU6" s="9">
        <f t="shared" si="19"/>
        <v>22.619791996409475</v>
      </c>
      <c r="AV6" s="9">
        <f t="shared" si="20"/>
        <v>30.303938451067044</v>
      </c>
      <c r="AW6" s="9">
        <f t="shared" si="21"/>
        <v>24.179252856684858</v>
      </c>
      <c r="AX6" s="9">
        <f t="shared" si="22"/>
        <v>25.700994434720457</v>
      </c>
      <c r="AY6" s="11">
        <v>7.09</v>
      </c>
      <c r="AZ6" s="4">
        <v>8.4</v>
      </c>
      <c r="BA6" s="4">
        <v>3.52</v>
      </c>
      <c r="BB6" s="4"/>
      <c r="BC6" s="4"/>
      <c r="BD6" s="8" t="s">
        <v>19</v>
      </c>
      <c r="BE6" s="4">
        <v>4</v>
      </c>
      <c r="BF6" s="8">
        <v>2</v>
      </c>
      <c r="BG6" s="4">
        <v>2</v>
      </c>
      <c r="BH6" s="22"/>
    </row>
    <row r="7" spans="1:60" ht="15.75" customHeight="1" x14ac:dyDescent="0.25">
      <c r="A7" s="20" t="s">
        <v>21</v>
      </c>
      <c r="B7" s="1" t="s">
        <v>22</v>
      </c>
      <c r="C7" s="1" t="s">
        <v>23</v>
      </c>
      <c r="D7" s="4">
        <v>12</v>
      </c>
      <c r="E7" s="4">
        <v>1</v>
      </c>
      <c r="F7" s="8" t="s">
        <v>17</v>
      </c>
      <c r="G7" s="8" t="s">
        <v>18</v>
      </c>
      <c r="H7" s="4">
        <v>42.113500000000002</v>
      </c>
      <c r="I7" s="4">
        <v>67.06</v>
      </c>
      <c r="J7" s="4">
        <v>37.049999999999997</v>
      </c>
      <c r="K7" s="4">
        <v>40.630000000000003</v>
      </c>
      <c r="L7" s="4">
        <v>4</v>
      </c>
      <c r="M7" s="4">
        <v>6</v>
      </c>
      <c r="N7" s="4" t="s">
        <v>19</v>
      </c>
      <c r="O7" s="4" t="s">
        <v>28</v>
      </c>
      <c r="P7" s="4">
        <v>5</v>
      </c>
      <c r="Q7" s="4" t="s">
        <v>19</v>
      </c>
      <c r="R7" s="4" t="s">
        <v>20</v>
      </c>
      <c r="S7" s="4">
        <v>13.97</v>
      </c>
      <c r="T7" s="4">
        <v>15.75</v>
      </c>
      <c r="U7" s="4">
        <v>11.34</v>
      </c>
      <c r="V7" s="17">
        <f t="shared" si="0"/>
        <v>13.686666666666667</v>
      </c>
      <c r="W7" s="4">
        <v>9.4600000000000009</v>
      </c>
      <c r="X7" s="4">
        <v>10.82</v>
      </c>
      <c r="Y7" s="4">
        <v>8.15</v>
      </c>
      <c r="Z7" s="17">
        <f t="shared" si="1"/>
        <v>9.4766666666666666</v>
      </c>
      <c r="AA7" s="4">
        <v>6.23</v>
      </c>
      <c r="AB7" s="4">
        <v>6.26</v>
      </c>
      <c r="AC7" s="4">
        <v>6</v>
      </c>
      <c r="AD7" s="17">
        <f t="shared" si="2"/>
        <v>6.163333333333334</v>
      </c>
      <c r="AE7" s="8">
        <f t="shared" si="3"/>
        <v>34.955567287553144</v>
      </c>
      <c r="AF7" s="9">
        <f t="shared" si="4"/>
        <v>35.936194585782289</v>
      </c>
      <c r="AG7" s="9">
        <f t="shared" si="5"/>
        <v>27.308288217129274</v>
      </c>
      <c r="AH7" s="9">
        <f t="shared" si="6"/>
        <v>15.580604834109957</v>
      </c>
      <c r="AI7" s="9">
        <f t="shared" si="7"/>
        <v>19.743453877254929</v>
      </c>
      <c r="AJ7" s="9">
        <f t="shared" si="8"/>
        <v>12.018653938363915</v>
      </c>
      <c r="AK7" s="9">
        <f t="shared" si="9"/>
        <v>19.678251078212902</v>
      </c>
      <c r="AL7" s="9">
        <f t="shared" si="10"/>
        <v>22.156771351884579</v>
      </c>
      <c r="AM7" s="9">
        <f t="shared" si="11"/>
        <v>17.115917622798854</v>
      </c>
      <c r="AN7" s="9">
        <f t="shared" si="12"/>
        <v>32.733350030154902</v>
      </c>
      <c r="AO7" s="9">
        <f t="shared" si="13"/>
        <v>15.780904216576266</v>
      </c>
      <c r="AP7" s="9">
        <f t="shared" si="14"/>
        <v>19.650313350965444</v>
      </c>
      <c r="AQ7" s="9">
        <f t="shared" si="15"/>
        <v>38.270705917076391</v>
      </c>
      <c r="AR7" s="9">
        <f t="shared" si="16"/>
        <v>41.002610310936312</v>
      </c>
      <c r="AS7" s="9">
        <f t="shared" si="17"/>
        <v>29.836062874312891</v>
      </c>
      <c r="AT7" s="9">
        <f t="shared" si="18"/>
        <v>36.369793034108532</v>
      </c>
      <c r="AU7" s="9">
        <f t="shared" si="19"/>
        <v>24.023775256807838</v>
      </c>
      <c r="AV7" s="9">
        <f t="shared" si="20"/>
        <v>28.784526575529039</v>
      </c>
      <c r="AW7" s="9">
        <f t="shared" si="21"/>
        <v>23.754780197386722</v>
      </c>
      <c r="AX7" s="9">
        <f t="shared" si="22"/>
        <v>25.521027343241201</v>
      </c>
      <c r="AY7" s="11">
        <v>5.12</v>
      </c>
      <c r="AZ7" s="4">
        <v>9.4</v>
      </c>
      <c r="BA7" s="4">
        <v>3.28</v>
      </c>
      <c r="BB7" s="4"/>
      <c r="BC7" s="4"/>
      <c r="BD7" s="8" t="s">
        <v>19</v>
      </c>
      <c r="BE7" s="4">
        <v>4</v>
      </c>
      <c r="BF7" s="8">
        <v>2</v>
      </c>
      <c r="BG7" s="4">
        <v>2</v>
      </c>
      <c r="BH7" s="22"/>
    </row>
    <row r="8" spans="1:60" ht="15.75" customHeight="1" x14ac:dyDescent="0.25">
      <c r="A8" s="20" t="s">
        <v>21</v>
      </c>
      <c r="B8" s="1" t="s">
        <v>22</v>
      </c>
      <c r="C8" s="1" t="s">
        <v>23</v>
      </c>
      <c r="D8" s="4">
        <v>12</v>
      </c>
      <c r="E8" s="4">
        <v>2</v>
      </c>
      <c r="F8" s="8" t="s">
        <v>17</v>
      </c>
      <c r="G8" s="8" t="s">
        <v>18</v>
      </c>
      <c r="H8" s="4">
        <v>33.61</v>
      </c>
      <c r="I8" s="4">
        <v>58.69</v>
      </c>
      <c r="J8" s="4">
        <v>35.79</v>
      </c>
      <c r="K8" s="4">
        <v>37.57</v>
      </c>
      <c r="L8" s="4">
        <v>1</v>
      </c>
      <c r="M8" s="4">
        <v>6</v>
      </c>
      <c r="N8" s="4" t="s">
        <v>19</v>
      </c>
      <c r="O8" s="4" t="s">
        <v>28</v>
      </c>
      <c r="P8" s="4">
        <v>4</v>
      </c>
      <c r="Q8" s="4" t="s">
        <v>19</v>
      </c>
      <c r="R8" s="4" t="s">
        <v>20</v>
      </c>
      <c r="S8" s="4">
        <v>11.08</v>
      </c>
      <c r="T8" s="4">
        <v>11.65</v>
      </c>
      <c r="U8" s="4">
        <v>11.82</v>
      </c>
      <c r="V8" s="17">
        <f t="shared" si="0"/>
        <v>11.516666666666666</v>
      </c>
      <c r="W8" s="4">
        <v>7.89</v>
      </c>
      <c r="X8" s="4">
        <v>7.99</v>
      </c>
      <c r="Y8" s="4">
        <v>8.0399999999999991</v>
      </c>
      <c r="Z8" s="17">
        <f t="shared" si="1"/>
        <v>7.9733333333333327</v>
      </c>
      <c r="AA8" s="4">
        <v>6.23</v>
      </c>
      <c r="AB8" s="4">
        <v>6.11</v>
      </c>
      <c r="AC8" s="4">
        <v>5.93</v>
      </c>
      <c r="AD8" s="17">
        <f t="shared" si="2"/>
        <v>6.09</v>
      </c>
      <c r="AE8" s="8">
        <f t="shared" si="3"/>
        <v>27.642870595983304</v>
      </c>
      <c r="AF8" s="9">
        <f t="shared" si="4"/>
        <v>31.025008048149839</v>
      </c>
      <c r="AG8" s="9">
        <f t="shared" si="5"/>
        <v>31.836472324809627</v>
      </c>
      <c r="AH8" s="9">
        <f t="shared" si="6"/>
        <v>10.244666457943719</v>
      </c>
      <c r="AI8" s="9">
        <f t="shared" si="7"/>
        <v>11.04408431074847</v>
      </c>
      <c r="AJ8" s="9">
        <f t="shared" si="8"/>
        <v>11.895756788839822</v>
      </c>
      <c r="AK8" s="9">
        <f t="shared" si="9"/>
        <v>16.58340682003648</v>
      </c>
      <c r="AL8" s="9">
        <f t="shared" si="10"/>
        <v>16.78924213823796</v>
      </c>
      <c r="AM8" s="9">
        <f t="shared" si="11"/>
        <v>16.891676758718148</v>
      </c>
      <c r="AN8" s="9">
        <f t="shared" si="12"/>
        <v>30.168116989647586</v>
      </c>
      <c r="AO8" s="9">
        <f t="shared" si="13"/>
        <v>11.061502519177338</v>
      </c>
      <c r="AP8" s="9">
        <f t="shared" si="14"/>
        <v>16.754775238997528</v>
      </c>
      <c r="AQ8" s="9">
        <f t="shared" si="15"/>
        <v>29.480188018749057</v>
      </c>
      <c r="AR8" s="9">
        <f t="shared" si="16"/>
        <v>32.932095631020552</v>
      </c>
      <c r="AS8" s="9">
        <f t="shared" si="17"/>
        <v>33.986320772740285</v>
      </c>
      <c r="AT8" s="9">
        <f t="shared" si="18"/>
        <v>32.132868140836628</v>
      </c>
      <c r="AU8" s="9">
        <f t="shared" si="19"/>
        <v>20.335104109686032</v>
      </c>
      <c r="AV8" s="9">
        <f t="shared" si="20"/>
        <v>19.594387846466887</v>
      </c>
      <c r="AW8" s="9">
        <f t="shared" si="21"/>
        <v>20.488295075852612</v>
      </c>
      <c r="AX8" s="9">
        <f t="shared" si="22"/>
        <v>20.139262344001843</v>
      </c>
      <c r="AY8" s="11">
        <v>6.89</v>
      </c>
      <c r="AZ8" s="4">
        <v>11.2</v>
      </c>
      <c r="BA8" s="4">
        <v>3.31</v>
      </c>
      <c r="BB8" s="4"/>
      <c r="BC8" s="4"/>
      <c r="BD8" s="8" t="s">
        <v>19</v>
      </c>
      <c r="BE8" s="4">
        <v>1</v>
      </c>
      <c r="BF8" s="8">
        <v>2</v>
      </c>
      <c r="BG8" s="4">
        <v>2</v>
      </c>
      <c r="BH8" s="22"/>
    </row>
    <row r="9" spans="1:60" ht="15.75" customHeight="1" x14ac:dyDescent="0.25">
      <c r="A9" s="20" t="s">
        <v>21</v>
      </c>
      <c r="B9" s="1" t="s">
        <v>22</v>
      </c>
      <c r="C9" s="1" t="s">
        <v>23</v>
      </c>
      <c r="D9" s="4">
        <v>12</v>
      </c>
      <c r="E9" s="4">
        <v>3</v>
      </c>
      <c r="F9" s="8" t="s">
        <v>17</v>
      </c>
      <c r="G9" s="8" t="s">
        <v>18</v>
      </c>
      <c r="H9" s="4">
        <v>46.093499999999999</v>
      </c>
      <c r="I9" s="4">
        <v>68.319999999999993</v>
      </c>
      <c r="J9" s="4">
        <v>37.32</v>
      </c>
      <c r="K9" s="4">
        <v>37.979999999999997</v>
      </c>
      <c r="L9" s="4">
        <v>5</v>
      </c>
      <c r="M9" s="4">
        <v>6</v>
      </c>
      <c r="N9" s="4" t="s">
        <v>19</v>
      </c>
      <c r="O9" s="4" t="s">
        <v>30</v>
      </c>
      <c r="P9" s="4">
        <v>4</v>
      </c>
      <c r="Q9" s="4" t="s">
        <v>19</v>
      </c>
      <c r="R9" s="4" t="s">
        <v>20</v>
      </c>
      <c r="S9" s="4">
        <v>12.94</v>
      </c>
      <c r="T9" s="4">
        <v>12.95</v>
      </c>
      <c r="U9" s="4">
        <v>11.18</v>
      </c>
      <c r="V9" s="17">
        <f t="shared" si="0"/>
        <v>12.356666666666667</v>
      </c>
      <c r="W9" s="4">
        <v>9.0399999999999991</v>
      </c>
      <c r="X9" s="4">
        <v>9.06</v>
      </c>
      <c r="Y9" s="4">
        <v>9.84</v>
      </c>
      <c r="Z9" s="17">
        <f t="shared" si="1"/>
        <v>9.3133333333333344</v>
      </c>
      <c r="AA9" s="4">
        <v>6.16</v>
      </c>
      <c r="AB9" s="4">
        <v>6.22</v>
      </c>
      <c r="AC9" s="4">
        <v>6.48</v>
      </c>
      <c r="AD9" s="17">
        <f t="shared" si="2"/>
        <v>6.2866666666666662</v>
      </c>
      <c r="AE9" s="8">
        <f t="shared" si="3"/>
        <v>31.317073447513415</v>
      </c>
      <c r="AF9" s="9">
        <f t="shared" si="4"/>
        <v>31.221043592796899</v>
      </c>
      <c r="AG9" s="9">
        <f t="shared" si="5"/>
        <v>12.001536962911397</v>
      </c>
      <c r="AH9" s="9">
        <f t="shared" si="6"/>
        <v>14.458347374223473</v>
      </c>
      <c r="AI9" s="9">
        <f t="shared" si="7"/>
        <v>14.302926280026295</v>
      </c>
      <c r="AJ9" s="9">
        <f t="shared" si="8"/>
        <v>15.891370608967586</v>
      </c>
      <c r="AK9" s="9">
        <f t="shared" si="9"/>
        <v>18.877247597825146</v>
      </c>
      <c r="AL9" s="9">
        <f t="shared" si="10"/>
        <v>18.915807308438389</v>
      </c>
      <c r="AM9" s="9">
        <f t="shared" si="11"/>
        <v>20.387778167950842</v>
      </c>
      <c r="AN9" s="9">
        <f t="shared" si="12"/>
        <v>24.846551334407238</v>
      </c>
      <c r="AO9" s="9">
        <f t="shared" si="13"/>
        <v>14.884214754405784</v>
      </c>
      <c r="AP9" s="9">
        <f t="shared" si="14"/>
        <v>19.393611024738124</v>
      </c>
      <c r="AQ9" s="9">
        <f t="shared" si="15"/>
        <v>34.493519653851862</v>
      </c>
      <c r="AR9" s="9">
        <f t="shared" si="16"/>
        <v>34.341334615812343</v>
      </c>
      <c r="AS9" s="9">
        <f t="shared" si="17"/>
        <v>19.914129388544389</v>
      </c>
      <c r="AT9" s="9">
        <f t="shared" si="18"/>
        <v>29.582994552736199</v>
      </c>
      <c r="AU9" s="9">
        <f t="shared" si="19"/>
        <v>24.781646041649697</v>
      </c>
      <c r="AV9" s="9">
        <f t="shared" si="20"/>
        <v>24.613374519051181</v>
      </c>
      <c r="AW9" s="9">
        <f t="shared" si="21"/>
        <v>52.939039036733462</v>
      </c>
      <c r="AX9" s="9">
        <f t="shared" si="22"/>
        <v>34.11135319914478</v>
      </c>
      <c r="AY9" s="11">
        <v>5.69</v>
      </c>
      <c r="AZ9" s="4">
        <v>10</v>
      </c>
      <c r="BA9" s="4">
        <v>3.32</v>
      </c>
      <c r="BB9" s="4"/>
      <c r="BC9" s="4"/>
      <c r="BD9" s="8" t="s">
        <v>19</v>
      </c>
      <c r="BE9" s="4">
        <v>4</v>
      </c>
      <c r="BF9" s="8">
        <v>2</v>
      </c>
      <c r="BG9" s="4">
        <v>2</v>
      </c>
      <c r="BH9" s="22"/>
    </row>
    <row r="10" spans="1:60" ht="15.75" customHeight="1" x14ac:dyDescent="0.25">
      <c r="A10" s="20" t="s">
        <v>21</v>
      </c>
      <c r="B10" s="1" t="s">
        <v>22</v>
      </c>
      <c r="C10" s="1" t="s">
        <v>23</v>
      </c>
      <c r="D10" s="4">
        <v>12</v>
      </c>
      <c r="E10" s="4">
        <v>4</v>
      </c>
      <c r="F10" s="8" t="s">
        <v>17</v>
      </c>
      <c r="G10" s="8" t="s">
        <v>18</v>
      </c>
      <c r="H10" s="4">
        <v>45.384500000000003</v>
      </c>
      <c r="I10" s="4">
        <v>72.92</v>
      </c>
      <c r="J10" s="4">
        <v>37.06</v>
      </c>
      <c r="K10" s="4">
        <v>44.22</v>
      </c>
      <c r="L10" s="4">
        <v>4</v>
      </c>
      <c r="M10" s="4">
        <v>6</v>
      </c>
      <c r="N10" s="4" t="s">
        <v>19</v>
      </c>
      <c r="O10" s="4" t="s">
        <v>28</v>
      </c>
      <c r="P10" s="4">
        <v>5</v>
      </c>
      <c r="Q10" s="4" t="s">
        <v>19</v>
      </c>
      <c r="R10" s="4" t="s">
        <v>20</v>
      </c>
      <c r="S10" s="4">
        <v>10.24</v>
      </c>
      <c r="T10" s="4">
        <v>11.61</v>
      </c>
      <c r="U10" s="4">
        <v>11.04</v>
      </c>
      <c r="V10" s="17">
        <f t="shared" si="0"/>
        <v>10.963333333333333</v>
      </c>
      <c r="W10" s="4">
        <v>7.39</v>
      </c>
      <c r="X10" s="4">
        <v>8.27</v>
      </c>
      <c r="Y10" s="4">
        <v>7.95</v>
      </c>
      <c r="Z10" s="17">
        <f t="shared" si="1"/>
        <v>7.87</v>
      </c>
      <c r="AA10" s="4">
        <v>5.74</v>
      </c>
      <c r="AB10" s="4">
        <v>5.74</v>
      </c>
      <c r="AC10" s="4">
        <v>5.64</v>
      </c>
      <c r="AD10" s="17">
        <f t="shared" si="2"/>
        <v>5.706666666666667</v>
      </c>
      <c r="AE10" s="8">
        <f t="shared" si="3"/>
        <v>25.668660458673525</v>
      </c>
      <c r="AF10" s="9">
        <f t="shared" si="4"/>
        <v>28.273761957437276</v>
      </c>
      <c r="AG10" s="9">
        <f t="shared" si="5"/>
        <v>26.806184512314925</v>
      </c>
      <c r="AH10" s="9">
        <f t="shared" si="6"/>
        <v>10.278854232329305</v>
      </c>
      <c r="AI10" s="9">
        <f t="shared" si="7"/>
        <v>13.424960734250179</v>
      </c>
      <c r="AJ10" s="9">
        <f t="shared" si="8"/>
        <v>12.686983000194591</v>
      </c>
      <c r="AK10" s="9">
        <f t="shared" si="9"/>
        <v>15.534083148238192</v>
      </c>
      <c r="AL10" s="9">
        <f t="shared" si="10"/>
        <v>17.358824919352301</v>
      </c>
      <c r="AM10" s="9">
        <f t="shared" si="11"/>
        <v>16.707063457302311</v>
      </c>
      <c r="AN10" s="9">
        <f t="shared" si="12"/>
        <v>26.916202309475242</v>
      </c>
      <c r="AO10" s="9">
        <f t="shared" si="13"/>
        <v>12.130265988924691</v>
      </c>
      <c r="AP10" s="9">
        <f t="shared" si="14"/>
        <v>16.533323841630935</v>
      </c>
      <c r="AQ10" s="9">
        <f t="shared" si="15"/>
        <v>27.650225570004736</v>
      </c>
      <c r="AR10" s="9">
        <f t="shared" si="16"/>
        <v>31.29912436382185</v>
      </c>
      <c r="AS10" s="9">
        <f t="shared" si="17"/>
        <v>29.656889010068117</v>
      </c>
      <c r="AT10" s="9">
        <f t="shared" si="18"/>
        <v>29.535412981298233</v>
      </c>
      <c r="AU10" s="9">
        <f t="shared" si="19"/>
        <v>21.823323430823237</v>
      </c>
      <c r="AV10" s="9">
        <f t="shared" si="20"/>
        <v>25.399324475814826</v>
      </c>
      <c r="AW10" s="9">
        <f t="shared" si="21"/>
        <v>25.327523019719155</v>
      </c>
      <c r="AX10" s="9">
        <f t="shared" si="22"/>
        <v>24.183390308785736</v>
      </c>
      <c r="AY10" s="11">
        <v>7.75</v>
      </c>
      <c r="AZ10" s="4">
        <v>9.6</v>
      </c>
      <c r="BA10" s="4">
        <v>3.54</v>
      </c>
      <c r="BB10" s="4"/>
      <c r="BC10" s="4"/>
      <c r="BD10" s="8" t="s">
        <v>19</v>
      </c>
      <c r="BE10" s="4">
        <v>1</v>
      </c>
      <c r="BF10" s="8">
        <v>2</v>
      </c>
      <c r="BG10" s="4">
        <v>2</v>
      </c>
      <c r="BH10" s="22"/>
    </row>
    <row r="11" spans="1:60" ht="15.75" customHeight="1" x14ac:dyDescent="0.25">
      <c r="A11" s="20" t="s">
        <v>21</v>
      </c>
      <c r="B11" s="1" t="s">
        <v>22</v>
      </c>
      <c r="C11" s="1" t="s">
        <v>23</v>
      </c>
      <c r="D11" s="4">
        <v>12</v>
      </c>
      <c r="E11" s="4">
        <v>5</v>
      </c>
      <c r="F11" s="8" t="s">
        <v>17</v>
      </c>
      <c r="G11" s="8" t="s">
        <v>18</v>
      </c>
      <c r="H11" s="4">
        <v>32.672899999999998</v>
      </c>
      <c r="I11" s="4">
        <v>64.02</v>
      </c>
      <c r="J11" s="4">
        <v>33.47</v>
      </c>
      <c r="K11" s="4">
        <v>37.590000000000003</v>
      </c>
      <c r="L11" s="4">
        <v>5</v>
      </c>
      <c r="M11" s="4">
        <v>6</v>
      </c>
      <c r="N11" s="4" t="s">
        <v>19</v>
      </c>
      <c r="O11" s="4" t="s">
        <v>28</v>
      </c>
      <c r="P11" s="4">
        <v>5</v>
      </c>
      <c r="Q11" s="4" t="s">
        <v>19</v>
      </c>
      <c r="R11" s="4" t="s">
        <v>20</v>
      </c>
      <c r="S11" s="4">
        <v>12.19</v>
      </c>
      <c r="T11" s="4">
        <v>12.69</v>
      </c>
      <c r="U11" s="4">
        <v>11.94</v>
      </c>
      <c r="V11" s="17">
        <f t="shared" si="0"/>
        <v>12.273333333333333</v>
      </c>
      <c r="W11" s="4">
        <v>8.3699999999999992</v>
      </c>
      <c r="X11" s="4">
        <v>8.7899999999999991</v>
      </c>
      <c r="Y11" s="4">
        <v>8.17</v>
      </c>
      <c r="Z11" s="17">
        <f t="shared" si="1"/>
        <v>8.4433333333333334</v>
      </c>
      <c r="AA11" s="4">
        <v>5.81</v>
      </c>
      <c r="AB11" s="4">
        <v>5.95</v>
      </c>
      <c r="AC11" s="4">
        <v>5.98</v>
      </c>
      <c r="AD11" s="17">
        <f t="shared" si="2"/>
        <v>5.913333333333334</v>
      </c>
      <c r="AE11" s="8">
        <f t="shared" si="3"/>
        <v>31.652502547738216</v>
      </c>
      <c r="AF11" s="9">
        <f t="shared" si="4"/>
        <v>31.647074472482217</v>
      </c>
      <c r="AG11" s="9">
        <f t="shared" si="5"/>
        <v>31.573930192463905</v>
      </c>
      <c r="AH11" s="9">
        <f t="shared" si="6"/>
        <v>13.503621589180209</v>
      </c>
      <c r="AI11" s="9">
        <f t="shared" si="7"/>
        <v>14.40632948661592</v>
      </c>
      <c r="AJ11" s="9">
        <f t="shared" si="8"/>
        <v>12.163860261194454</v>
      </c>
      <c r="AK11" s="9">
        <f t="shared" si="9"/>
        <v>17.559904648255483</v>
      </c>
      <c r="AL11" s="9">
        <f t="shared" si="10"/>
        <v>18.391603626466733</v>
      </c>
      <c r="AM11" s="9">
        <f t="shared" si="11"/>
        <v>17.156525752858968</v>
      </c>
      <c r="AN11" s="9">
        <f t="shared" si="12"/>
        <v>31.62450240422811</v>
      </c>
      <c r="AO11" s="9">
        <f t="shared" si="13"/>
        <v>13.357937112330196</v>
      </c>
      <c r="AP11" s="9">
        <f t="shared" si="14"/>
        <v>17.702678009193729</v>
      </c>
      <c r="AQ11" s="9">
        <f t="shared" si="15"/>
        <v>34.412624334077577</v>
      </c>
      <c r="AR11" s="9">
        <f t="shared" si="16"/>
        <v>34.771822672154748</v>
      </c>
      <c r="AS11" s="9">
        <f t="shared" si="17"/>
        <v>33.83596554337484</v>
      </c>
      <c r="AT11" s="9">
        <f t="shared" si="18"/>
        <v>34.340137516535719</v>
      </c>
      <c r="AU11" s="9">
        <f t="shared" si="19"/>
        <v>23.10411220552799</v>
      </c>
      <c r="AV11" s="9">
        <f t="shared" si="20"/>
        <v>24.475899719219644</v>
      </c>
      <c r="AW11" s="9">
        <f t="shared" si="21"/>
        <v>21.069185178483551</v>
      </c>
      <c r="AX11" s="9">
        <f t="shared" si="22"/>
        <v>22.883065701077062</v>
      </c>
      <c r="AY11" s="11">
        <v>5.33</v>
      </c>
      <c r="AZ11" s="4">
        <v>11</v>
      </c>
      <c r="BA11" s="4">
        <v>3.36</v>
      </c>
      <c r="BB11" s="4"/>
      <c r="BC11" s="4"/>
      <c r="BD11" s="8" t="s">
        <v>19</v>
      </c>
      <c r="BE11" s="4">
        <v>2</v>
      </c>
      <c r="BF11" s="8">
        <v>2</v>
      </c>
      <c r="BG11" s="4">
        <v>2</v>
      </c>
      <c r="BH11" s="22"/>
    </row>
    <row r="12" spans="1:60" ht="15.75" customHeight="1" x14ac:dyDescent="0.25">
      <c r="A12" s="20" t="s">
        <v>24</v>
      </c>
      <c r="D12" s="4">
        <v>19</v>
      </c>
      <c r="E12" s="4">
        <v>1</v>
      </c>
      <c r="F12" s="8" t="s">
        <v>17</v>
      </c>
      <c r="G12" s="8" t="s">
        <v>18</v>
      </c>
      <c r="H12" s="4">
        <v>41.293700000000001</v>
      </c>
      <c r="I12" s="4">
        <v>55.52</v>
      </c>
      <c r="J12" s="4">
        <v>40.33</v>
      </c>
      <c r="K12" s="4">
        <v>35.340000000000003</v>
      </c>
      <c r="L12" s="4">
        <v>2</v>
      </c>
      <c r="M12" s="4">
        <v>5</v>
      </c>
      <c r="N12" s="4" t="s">
        <v>19</v>
      </c>
      <c r="O12" s="4" t="s">
        <v>27</v>
      </c>
      <c r="P12" s="4">
        <v>2</v>
      </c>
      <c r="Q12" s="4" t="s">
        <v>19</v>
      </c>
      <c r="R12" s="4" t="s">
        <v>20</v>
      </c>
      <c r="S12" s="4">
        <v>13.7</v>
      </c>
      <c r="T12" s="4">
        <v>15.43</v>
      </c>
      <c r="U12" s="4">
        <v>13.97</v>
      </c>
      <c r="V12" s="17">
        <f t="shared" si="0"/>
        <v>14.366666666666667</v>
      </c>
      <c r="W12" s="4">
        <v>9.6300000000000008</v>
      </c>
      <c r="X12" s="4">
        <v>10.75</v>
      </c>
      <c r="Y12" s="4">
        <v>9.7899999999999991</v>
      </c>
      <c r="Z12" s="17">
        <f t="shared" si="1"/>
        <v>10.056666666666667</v>
      </c>
      <c r="AA12" s="4">
        <v>6.48</v>
      </c>
      <c r="AB12" s="4">
        <v>6.66</v>
      </c>
      <c r="AC12" s="4">
        <v>6.43</v>
      </c>
      <c r="AD12" s="17">
        <f t="shared" si="2"/>
        <v>6.5233333333333334</v>
      </c>
      <c r="AE12" s="8">
        <f t="shared" si="3"/>
        <v>31.747114677229209</v>
      </c>
      <c r="AF12" s="9">
        <f t="shared" si="4"/>
        <v>34.422765539611241</v>
      </c>
      <c r="AG12" s="9">
        <f t="shared" si="5"/>
        <v>32.296253808229977</v>
      </c>
      <c r="AH12" s="9">
        <f t="shared" si="6"/>
        <v>15.218304640266705</v>
      </c>
      <c r="AI12" s="9">
        <f t="shared" si="7"/>
        <v>18.082022582808815</v>
      </c>
      <c r="AJ12" s="9">
        <f t="shared" si="8"/>
        <v>15.912857132569346</v>
      </c>
      <c r="AK12" s="9">
        <f t="shared" si="9"/>
        <v>19.997399906104334</v>
      </c>
      <c r="AL12" s="9">
        <f t="shared" si="10"/>
        <v>22.033143440951605</v>
      </c>
      <c r="AM12" s="9">
        <f t="shared" si="11"/>
        <v>20.295211805415875</v>
      </c>
      <c r="AN12" s="9">
        <f t="shared" si="12"/>
        <v>32.822044675023477</v>
      </c>
      <c r="AO12" s="9">
        <f t="shared" si="13"/>
        <v>16.404394785214958</v>
      </c>
      <c r="AP12" s="9">
        <f t="shared" si="14"/>
        <v>20.775251717490605</v>
      </c>
      <c r="AQ12" s="9">
        <f t="shared" si="15"/>
        <v>35.206193864902602</v>
      </c>
      <c r="AR12" s="9">
        <f t="shared" si="16"/>
        <v>38.882982499806452</v>
      </c>
      <c r="AS12" s="9">
        <f t="shared" si="17"/>
        <v>36.003708589076936</v>
      </c>
      <c r="AT12" s="9">
        <f t="shared" si="18"/>
        <v>36.697628317928668</v>
      </c>
      <c r="AU12" s="9">
        <f t="shared" si="19"/>
        <v>25.611207009303861</v>
      </c>
      <c r="AV12" s="9">
        <f t="shared" si="20"/>
        <v>27.712611741568146</v>
      </c>
      <c r="AW12" s="9">
        <f t="shared" si="21"/>
        <v>26.230171346370383</v>
      </c>
      <c r="AX12" s="9">
        <f t="shared" si="22"/>
        <v>26.517996699080797</v>
      </c>
      <c r="AY12" s="11">
        <v>5.77</v>
      </c>
      <c r="AZ12" s="4">
        <v>10.8</v>
      </c>
      <c r="BA12" s="4">
        <v>3.15</v>
      </c>
      <c r="BB12" s="4"/>
      <c r="BC12" s="4"/>
      <c r="BD12" s="8" t="s">
        <v>19</v>
      </c>
      <c r="BE12" s="4">
        <v>4</v>
      </c>
      <c r="BF12" s="8">
        <v>2</v>
      </c>
      <c r="BG12" s="4">
        <v>2</v>
      </c>
      <c r="BH12" s="22"/>
    </row>
    <row r="13" spans="1:60" ht="15.75" customHeight="1" x14ac:dyDescent="0.25">
      <c r="A13" s="20" t="s">
        <v>24</v>
      </c>
      <c r="D13" s="4">
        <v>19</v>
      </c>
      <c r="E13" s="4">
        <v>2</v>
      </c>
      <c r="F13" s="8" t="s">
        <v>17</v>
      </c>
      <c r="G13" s="8" t="s">
        <v>18</v>
      </c>
      <c r="H13" s="4">
        <v>36.584200000000003</v>
      </c>
      <c r="I13" s="4">
        <v>55.21</v>
      </c>
      <c r="J13" s="4">
        <v>36.729999999999997</v>
      </c>
      <c r="K13" s="4">
        <v>36.53</v>
      </c>
      <c r="L13" s="4">
        <v>2</v>
      </c>
      <c r="M13" s="4">
        <v>5</v>
      </c>
      <c r="N13" s="4" t="s">
        <v>19</v>
      </c>
      <c r="O13" s="4" t="s">
        <v>27</v>
      </c>
      <c r="P13" s="4">
        <v>2</v>
      </c>
      <c r="Q13" s="4" t="s">
        <v>19</v>
      </c>
      <c r="R13" s="4" t="s">
        <v>20</v>
      </c>
      <c r="S13" s="4">
        <v>13.77</v>
      </c>
      <c r="T13" s="4">
        <v>20.36</v>
      </c>
      <c r="U13" s="4">
        <v>14.91</v>
      </c>
      <c r="V13" s="17">
        <f t="shared" si="0"/>
        <v>16.346666666666664</v>
      </c>
      <c r="W13" s="4">
        <v>9.67</v>
      </c>
      <c r="X13" s="4">
        <v>15.04</v>
      </c>
      <c r="Y13" s="4">
        <v>10.53</v>
      </c>
      <c r="Z13" s="17">
        <f t="shared" si="1"/>
        <v>11.746666666666668</v>
      </c>
      <c r="AA13" s="4">
        <v>6.35</v>
      </c>
      <c r="AB13" s="4">
        <v>7.18</v>
      </c>
      <c r="AC13" s="4">
        <v>6.27</v>
      </c>
      <c r="AD13" s="17">
        <f t="shared" si="2"/>
        <v>6.5999999999999988</v>
      </c>
      <c r="AE13" s="8">
        <f t="shared" si="3"/>
        <v>31.90209772888694</v>
      </c>
      <c r="AF13" s="9">
        <f t="shared" si="4"/>
        <v>33.947111476405944</v>
      </c>
      <c r="AG13" s="9">
        <f t="shared" si="5"/>
        <v>32.737873852022119</v>
      </c>
      <c r="AH13" s="9">
        <f t="shared" si="6"/>
        <v>15.819357645848021</v>
      </c>
      <c r="AI13" s="9">
        <f t="shared" si="7"/>
        <v>28.251301695077036</v>
      </c>
      <c r="AJ13" s="9">
        <f t="shared" si="8"/>
        <v>18.819078273293204</v>
      </c>
      <c r="AK13" s="9">
        <f t="shared" si="9"/>
        <v>20.072083388681612</v>
      </c>
      <c r="AL13" s="9">
        <f t="shared" si="10"/>
        <v>28.986469076823532</v>
      </c>
      <c r="AM13" s="9">
        <f t="shared" si="11"/>
        <v>21.641955315844051</v>
      </c>
      <c r="AN13" s="9">
        <f t="shared" si="12"/>
        <v>32.862361019105002</v>
      </c>
      <c r="AO13" s="9">
        <f t="shared" si="13"/>
        <v>20.963245871406087</v>
      </c>
      <c r="AP13" s="9">
        <f t="shared" si="14"/>
        <v>23.566835927116397</v>
      </c>
      <c r="AQ13" s="9">
        <f t="shared" si="15"/>
        <v>35.608930282033235</v>
      </c>
      <c r="AR13" s="9">
        <f t="shared" si="16"/>
        <v>44.164945658947602</v>
      </c>
      <c r="AS13" s="9">
        <f t="shared" si="17"/>
        <v>37.76143656440059</v>
      </c>
      <c r="AT13" s="9">
        <f t="shared" si="18"/>
        <v>39.178437501793809</v>
      </c>
      <c r="AU13" s="9">
        <f t="shared" si="19"/>
        <v>26.375526263644463</v>
      </c>
      <c r="AV13" s="9">
        <f t="shared" si="20"/>
        <v>39.767741373346659</v>
      </c>
      <c r="AW13" s="9">
        <f t="shared" si="21"/>
        <v>29.892063003859757</v>
      </c>
      <c r="AX13" s="9">
        <f t="shared" si="22"/>
        <v>32.011776880283627</v>
      </c>
      <c r="AY13" s="11">
        <v>4.3899999999999997</v>
      </c>
      <c r="AZ13" s="4">
        <v>11.8</v>
      </c>
      <c r="BA13" s="4">
        <v>3.16</v>
      </c>
      <c r="BB13" s="4"/>
      <c r="BC13" s="4"/>
      <c r="BD13" s="8" t="s">
        <v>19</v>
      </c>
      <c r="BE13" s="4">
        <v>4</v>
      </c>
      <c r="BF13" s="8">
        <v>2</v>
      </c>
      <c r="BG13" s="4">
        <v>2</v>
      </c>
      <c r="BH13" s="22"/>
    </row>
    <row r="14" spans="1:60" ht="15.75" customHeight="1" x14ac:dyDescent="0.25">
      <c r="A14" s="20" t="s">
        <v>24</v>
      </c>
      <c r="D14" s="4">
        <v>19</v>
      </c>
      <c r="E14" s="4">
        <v>3</v>
      </c>
      <c r="F14" s="8" t="s">
        <v>17</v>
      </c>
      <c r="G14" s="8" t="s">
        <v>18</v>
      </c>
      <c r="H14" s="4">
        <v>34.918199999999999</v>
      </c>
      <c r="I14" s="4">
        <v>56.09</v>
      </c>
      <c r="J14" s="4">
        <v>36.21</v>
      </c>
      <c r="K14" s="4">
        <v>33.909999999999997</v>
      </c>
      <c r="L14" s="4">
        <v>2</v>
      </c>
      <c r="M14" s="4">
        <v>5</v>
      </c>
      <c r="N14" s="4" t="s">
        <v>19</v>
      </c>
      <c r="O14" s="4" t="s">
        <v>28</v>
      </c>
      <c r="P14" s="4">
        <v>4</v>
      </c>
      <c r="Q14" s="4" t="s">
        <v>19</v>
      </c>
      <c r="R14" s="4" t="s">
        <v>20</v>
      </c>
      <c r="S14" s="4">
        <v>13.13</v>
      </c>
      <c r="T14" s="4">
        <v>15.59</v>
      </c>
      <c r="U14" s="4">
        <v>12.36</v>
      </c>
      <c r="V14" s="17">
        <f t="shared" si="0"/>
        <v>13.693333333333333</v>
      </c>
      <c r="W14" s="4">
        <v>9.1999999999999993</v>
      </c>
      <c r="X14" s="4">
        <v>10.99</v>
      </c>
      <c r="Y14" s="4">
        <v>8.5399999999999991</v>
      </c>
      <c r="Z14" s="17">
        <f t="shared" si="1"/>
        <v>9.5766666666666662</v>
      </c>
      <c r="AA14" s="4">
        <v>6.36</v>
      </c>
      <c r="AB14" s="4">
        <v>6.64</v>
      </c>
      <c r="AC14" s="4">
        <v>5.91</v>
      </c>
      <c r="AD14" s="17">
        <f t="shared" si="2"/>
        <v>6.3033333333333337</v>
      </c>
      <c r="AE14" s="8">
        <f t="shared" si="3"/>
        <v>31.321266254619061</v>
      </c>
      <c r="AF14" s="9">
        <f t="shared" si="4"/>
        <v>33.628663297354947</v>
      </c>
      <c r="AG14" s="9">
        <f t="shared" si="5"/>
        <v>31.415993416016086</v>
      </c>
      <c r="AH14" s="9">
        <f t="shared" si="6"/>
        <v>14.252613467339692</v>
      </c>
      <c r="AI14" s="9">
        <f t="shared" si="7"/>
        <v>18.881338627097843</v>
      </c>
      <c r="AJ14" s="9">
        <f t="shared" si="8"/>
        <v>13.708161607423254</v>
      </c>
      <c r="AK14" s="9">
        <f t="shared" si="9"/>
        <v>19.184542060399195</v>
      </c>
      <c r="AL14" s="9">
        <f t="shared" si="10"/>
        <v>22.455355933861796</v>
      </c>
      <c r="AM14" s="9">
        <f t="shared" si="11"/>
        <v>17.899002935189699</v>
      </c>
      <c r="AN14" s="9">
        <f t="shared" si="12"/>
        <v>32.121974322663362</v>
      </c>
      <c r="AO14" s="9">
        <f t="shared" si="13"/>
        <v>15.614037900620261</v>
      </c>
      <c r="AP14" s="9">
        <f t="shared" si="14"/>
        <v>19.846300309816897</v>
      </c>
      <c r="AQ14" s="9">
        <f t="shared" si="15"/>
        <v>34.411607205158717</v>
      </c>
      <c r="AR14" s="9">
        <f t="shared" si="16"/>
        <v>38.566720673632659</v>
      </c>
      <c r="AS14" s="9">
        <f t="shared" si="17"/>
        <v>34.276498318387176</v>
      </c>
      <c r="AT14" s="9">
        <f t="shared" si="18"/>
        <v>35.751608732392846</v>
      </c>
      <c r="AU14" s="9">
        <f t="shared" si="19"/>
        <v>24.467713389445152</v>
      </c>
      <c r="AV14" s="9">
        <f t="shared" si="20"/>
        <v>29.312713324863559</v>
      </c>
      <c r="AW14" s="9">
        <f t="shared" si="21"/>
        <v>23.573732544355991</v>
      </c>
      <c r="AX14" s="9">
        <f t="shared" si="22"/>
        <v>25.784719752888236</v>
      </c>
      <c r="AY14" s="11">
        <v>5</v>
      </c>
      <c r="AZ14" s="4">
        <v>12</v>
      </c>
      <c r="BA14" s="4">
        <v>3.09</v>
      </c>
      <c r="BB14" s="4"/>
      <c r="BC14" s="4"/>
      <c r="BD14" s="8" t="s">
        <v>19</v>
      </c>
      <c r="BE14" s="4">
        <v>4</v>
      </c>
      <c r="BF14" s="8">
        <v>2</v>
      </c>
      <c r="BG14" s="4">
        <v>2</v>
      </c>
      <c r="BH14" s="22"/>
    </row>
    <row r="15" spans="1:60" ht="15.75" customHeight="1" x14ac:dyDescent="0.25">
      <c r="A15" s="20" t="s">
        <v>24</v>
      </c>
      <c r="D15" s="4">
        <v>19</v>
      </c>
      <c r="E15" s="4">
        <v>4</v>
      </c>
      <c r="F15" s="8" t="s">
        <v>17</v>
      </c>
      <c r="G15" s="8" t="s">
        <v>18</v>
      </c>
      <c r="H15" s="4">
        <v>33.825000000000003</v>
      </c>
      <c r="I15" s="4">
        <v>55.51</v>
      </c>
      <c r="J15" s="4">
        <v>35.69</v>
      </c>
      <c r="K15" s="4">
        <v>31</v>
      </c>
      <c r="L15" s="4">
        <v>2</v>
      </c>
      <c r="M15" s="4">
        <v>5</v>
      </c>
      <c r="N15" s="4" t="s">
        <v>19</v>
      </c>
      <c r="O15" s="4" t="s">
        <v>27</v>
      </c>
      <c r="P15" s="4">
        <v>4</v>
      </c>
      <c r="Q15" s="4" t="s">
        <v>19</v>
      </c>
      <c r="R15" s="4" t="s">
        <v>19</v>
      </c>
      <c r="S15" s="4">
        <v>17.28</v>
      </c>
      <c r="T15" s="4">
        <v>17.739999999999998</v>
      </c>
      <c r="U15" s="4">
        <v>15.72</v>
      </c>
      <c r="V15" s="17">
        <f t="shared" si="0"/>
        <v>16.91333333333333</v>
      </c>
      <c r="W15" s="4">
        <v>11.84</v>
      </c>
      <c r="X15" s="4">
        <v>12.23</v>
      </c>
      <c r="Y15" s="4">
        <v>10.61</v>
      </c>
      <c r="Z15" s="17">
        <f t="shared" si="1"/>
        <v>11.56</v>
      </c>
      <c r="AA15" s="4">
        <v>6.25</v>
      </c>
      <c r="AB15" s="4">
        <v>6.64</v>
      </c>
      <c r="AC15" s="4">
        <v>6.15</v>
      </c>
      <c r="AD15" s="17">
        <f t="shared" si="2"/>
        <v>6.3466666666666667</v>
      </c>
      <c r="AE15" s="8">
        <f t="shared" si="3"/>
        <v>37.866923221543338</v>
      </c>
      <c r="AF15" s="9">
        <f t="shared" si="4"/>
        <v>37.831979879673014</v>
      </c>
      <c r="AG15" s="9">
        <f t="shared" si="5"/>
        <v>37.349108957806578</v>
      </c>
      <c r="AH15" s="9">
        <f t="shared" si="6"/>
        <v>22.811310322885326</v>
      </c>
      <c r="AI15" s="9">
        <f t="shared" si="7"/>
        <v>22.52183461027759</v>
      </c>
      <c r="AJ15" s="9">
        <f t="shared" si="8"/>
        <v>19.508240550979838</v>
      </c>
      <c r="AK15" s="9">
        <f t="shared" si="9"/>
        <v>23.914789239077784</v>
      </c>
      <c r="AL15" s="9">
        <f t="shared" si="10"/>
        <v>24.566843604106054</v>
      </c>
      <c r="AM15" s="9">
        <f t="shared" si="11"/>
        <v>21.784674141773408</v>
      </c>
      <c r="AN15" s="9">
        <f t="shared" si="12"/>
        <v>37.682670686340977</v>
      </c>
      <c r="AO15" s="9">
        <f t="shared" si="13"/>
        <v>21.613795161380917</v>
      </c>
      <c r="AP15" s="9">
        <f t="shared" si="14"/>
        <v>23.422102328319085</v>
      </c>
      <c r="AQ15" s="9">
        <f t="shared" si="15"/>
        <v>44.207010223642499</v>
      </c>
      <c r="AR15" s="9">
        <f t="shared" si="16"/>
        <v>44.028306074940936</v>
      </c>
      <c r="AS15" s="9">
        <f t="shared" si="17"/>
        <v>42.137007360952936</v>
      </c>
      <c r="AT15" s="9">
        <f t="shared" si="18"/>
        <v>43.457441219845457</v>
      </c>
      <c r="AU15" s="9">
        <f t="shared" si="19"/>
        <v>31.065065846893138</v>
      </c>
      <c r="AV15" s="9">
        <f t="shared" si="20"/>
        <v>30.765849429069359</v>
      </c>
      <c r="AW15" s="9">
        <f t="shared" si="21"/>
        <v>27.579030628154996</v>
      </c>
      <c r="AX15" s="9">
        <f t="shared" si="22"/>
        <v>29.803315301372496</v>
      </c>
      <c r="AY15" s="11">
        <v>5.7</v>
      </c>
      <c r="AZ15" s="4">
        <v>13</v>
      </c>
      <c r="BA15" s="4">
        <v>3.12</v>
      </c>
      <c r="BB15" s="4"/>
      <c r="BC15" s="4"/>
      <c r="BD15" s="8" t="s">
        <v>19</v>
      </c>
      <c r="BE15" s="4">
        <v>4</v>
      </c>
      <c r="BF15" s="8">
        <v>2</v>
      </c>
      <c r="BG15" s="4">
        <v>2</v>
      </c>
      <c r="BH15" s="22"/>
    </row>
    <row r="16" spans="1:60" ht="15.75" customHeight="1" x14ac:dyDescent="0.25">
      <c r="A16" s="20" t="s">
        <v>24</v>
      </c>
      <c r="D16" s="4">
        <v>19</v>
      </c>
      <c r="E16" s="4">
        <v>5</v>
      </c>
      <c r="F16" s="8" t="s">
        <v>17</v>
      </c>
      <c r="G16" s="8" t="s">
        <v>18</v>
      </c>
      <c r="H16" s="4">
        <v>31.178999999999998</v>
      </c>
      <c r="I16" s="4">
        <v>50.18</v>
      </c>
      <c r="J16" s="4">
        <v>36.82</v>
      </c>
      <c r="K16" s="4">
        <v>30.58</v>
      </c>
      <c r="L16" s="4">
        <v>2</v>
      </c>
      <c r="M16" s="4">
        <v>5</v>
      </c>
      <c r="N16" s="4" t="s">
        <v>19</v>
      </c>
      <c r="O16" s="4" t="s">
        <v>27</v>
      </c>
      <c r="P16" s="4">
        <v>3</v>
      </c>
      <c r="Q16" s="4" t="s">
        <v>19</v>
      </c>
      <c r="R16" s="4" t="s">
        <v>20</v>
      </c>
      <c r="S16" s="4">
        <v>12.6</v>
      </c>
      <c r="T16" s="4">
        <v>15.76</v>
      </c>
      <c r="U16" s="4">
        <v>12.48</v>
      </c>
      <c r="V16" s="17">
        <f t="shared" si="0"/>
        <v>13.613333333333335</v>
      </c>
      <c r="W16" s="4">
        <v>8.6199999999999992</v>
      </c>
      <c r="X16" s="4">
        <v>10.74</v>
      </c>
      <c r="Y16" s="4">
        <v>8.6199999999999992</v>
      </c>
      <c r="Z16" s="17">
        <f t="shared" si="1"/>
        <v>9.3266666666666662</v>
      </c>
      <c r="AA16" s="4">
        <v>5.86</v>
      </c>
      <c r="AB16" s="4">
        <v>6.18</v>
      </c>
      <c r="AC16" s="4">
        <v>5.91</v>
      </c>
      <c r="AD16" s="17">
        <f t="shared" si="2"/>
        <v>5.9833333333333334</v>
      </c>
      <c r="AE16" s="8">
        <f t="shared" si="3"/>
        <v>32.448531407021974</v>
      </c>
      <c r="AF16" s="9">
        <f t="shared" si="4"/>
        <v>36.6089510892634</v>
      </c>
      <c r="AG16" s="9">
        <f t="shared" si="5"/>
        <v>31.592928841771617</v>
      </c>
      <c r="AH16" s="9">
        <f t="shared" si="6"/>
        <v>14.170928531226274</v>
      </c>
      <c r="AI16" s="9">
        <f t="shared" si="7"/>
        <v>19.794952916041581</v>
      </c>
      <c r="AJ16" s="9">
        <f t="shared" si="8"/>
        <v>13.981277846226225</v>
      </c>
      <c r="AK16" s="9">
        <f t="shared" si="9"/>
        <v>18.057410353695424</v>
      </c>
      <c r="AL16" s="9">
        <f t="shared" si="10"/>
        <v>22.01544949096354</v>
      </c>
      <c r="AM16" s="9">
        <f t="shared" si="11"/>
        <v>18.057410353695424</v>
      </c>
      <c r="AN16" s="9">
        <f t="shared" si="12"/>
        <v>33.550137112685661</v>
      </c>
      <c r="AO16" s="9">
        <f t="shared" si="13"/>
        <v>15.982386431164693</v>
      </c>
      <c r="AP16" s="9">
        <f t="shared" si="14"/>
        <v>19.376756732784795</v>
      </c>
      <c r="AQ16" s="9">
        <f t="shared" si="15"/>
        <v>35.40794269524303</v>
      </c>
      <c r="AR16" s="9">
        <f t="shared" si="16"/>
        <v>41.61797040707755</v>
      </c>
      <c r="AS16" s="9">
        <f t="shared" si="17"/>
        <v>34.54836150984039</v>
      </c>
      <c r="AT16" s="9">
        <f t="shared" si="18"/>
        <v>37.191424870720319</v>
      </c>
      <c r="AU16" s="9">
        <f t="shared" si="19"/>
        <v>23.591864841495177</v>
      </c>
      <c r="AV16" s="9">
        <f t="shared" si="20"/>
        <v>28.400686530851605</v>
      </c>
      <c r="AW16" s="9">
        <f t="shared" si="21"/>
        <v>23.871523637913882</v>
      </c>
      <c r="AX16" s="9">
        <f t="shared" si="22"/>
        <v>25.28802500342022</v>
      </c>
      <c r="AY16" s="11">
        <v>5.44</v>
      </c>
      <c r="AZ16" s="4">
        <v>10.9</v>
      </c>
      <c r="BA16" s="4">
        <v>3.23</v>
      </c>
      <c r="BB16" s="4"/>
      <c r="BC16" s="4"/>
      <c r="BD16" s="8" t="s">
        <v>19</v>
      </c>
      <c r="BE16" s="4">
        <v>4</v>
      </c>
      <c r="BF16" s="8">
        <v>2</v>
      </c>
      <c r="BG16" s="4">
        <v>2</v>
      </c>
      <c r="BH16" s="22"/>
    </row>
    <row r="17" spans="1:60" ht="15.75" customHeight="1" x14ac:dyDescent="0.25">
      <c r="A17" s="20">
        <v>728</v>
      </c>
      <c r="D17" s="4">
        <v>9</v>
      </c>
      <c r="E17" s="4">
        <v>1</v>
      </c>
      <c r="F17" s="8" t="s">
        <v>17</v>
      </c>
      <c r="G17" s="8" t="s">
        <v>18</v>
      </c>
      <c r="H17" s="4">
        <v>38.423900000000003</v>
      </c>
      <c r="I17" s="4">
        <v>66.63</v>
      </c>
      <c r="J17" s="4">
        <v>34.97</v>
      </c>
      <c r="K17" s="4">
        <v>43.23</v>
      </c>
      <c r="L17" s="4">
        <v>2</v>
      </c>
      <c r="M17" s="4">
        <v>5</v>
      </c>
      <c r="N17" s="4" t="s">
        <v>19</v>
      </c>
      <c r="O17" s="4" t="s">
        <v>27</v>
      </c>
      <c r="P17" s="4">
        <v>4</v>
      </c>
      <c r="Q17" s="4" t="s">
        <v>19</v>
      </c>
      <c r="R17" s="4" t="s">
        <v>20</v>
      </c>
      <c r="S17" s="4">
        <v>16.600000000000001</v>
      </c>
      <c r="T17" s="4">
        <v>13.65</v>
      </c>
      <c r="U17" s="4">
        <v>10.16</v>
      </c>
      <c r="V17" s="17">
        <f t="shared" si="0"/>
        <v>13.469999999999999</v>
      </c>
      <c r="W17" s="4">
        <v>11.14</v>
      </c>
      <c r="X17" s="4">
        <v>9.5500000000000007</v>
      </c>
      <c r="Y17" s="4">
        <v>7.42</v>
      </c>
      <c r="Z17" s="17">
        <f t="shared" si="1"/>
        <v>9.3699999999999992</v>
      </c>
      <c r="AA17" s="4">
        <v>6.2</v>
      </c>
      <c r="AB17" s="4">
        <v>6.2</v>
      </c>
      <c r="AC17" s="4">
        <v>5.67</v>
      </c>
      <c r="AD17" s="17">
        <f t="shared" si="2"/>
        <v>6.0233333333333334</v>
      </c>
      <c r="AE17" s="8">
        <f t="shared" si="3"/>
        <v>38.858541932991322</v>
      </c>
      <c r="AF17" s="9">
        <f t="shared" si="4"/>
        <v>32.051564418958179</v>
      </c>
      <c r="AG17" s="9">
        <f t="shared" si="5"/>
        <v>24.760593712569946</v>
      </c>
      <c r="AH17" s="9">
        <f t="shared" si="6"/>
        <v>20.930383964883166</v>
      </c>
      <c r="AI17" s="9">
        <f t="shared" si="7"/>
        <v>15.983255453218387</v>
      </c>
      <c r="AJ17" s="9">
        <f t="shared" si="8"/>
        <v>10.658766939271574</v>
      </c>
      <c r="AK17" s="9">
        <f t="shared" si="9"/>
        <v>22.716900702406434</v>
      </c>
      <c r="AL17" s="9">
        <f t="shared" si="10"/>
        <v>19.847566165640863</v>
      </c>
      <c r="AM17" s="9">
        <f t="shared" si="11"/>
        <v>15.598025254752869</v>
      </c>
      <c r="AN17" s="9">
        <f t="shared" si="12"/>
        <v>31.890233354839818</v>
      </c>
      <c r="AO17" s="9">
        <f t="shared" si="13"/>
        <v>15.857468785791042</v>
      </c>
      <c r="AP17" s="9">
        <f t="shared" si="14"/>
        <v>19.387497374266722</v>
      </c>
      <c r="AQ17" s="9">
        <f t="shared" si="15"/>
        <v>44.136914868117856</v>
      </c>
      <c r="AR17" s="9">
        <f t="shared" si="16"/>
        <v>35.815740067538201</v>
      </c>
      <c r="AS17" s="9">
        <f t="shared" si="17"/>
        <v>26.957305385825695</v>
      </c>
      <c r="AT17" s="9">
        <f t="shared" si="18"/>
        <v>35.636653440493916</v>
      </c>
      <c r="AU17" s="9">
        <f t="shared" si="19"/>
        <v>28.308246456926426</v>
      </c>
      <c r="AV17" s="9">
        <f t="shared" si="20"/>
        <v>26.504201814090436</v>
      </c>
      <c r="AW17" s="9">
        <f t="shared" si="21"/>
        <v>23.290572544289205</v>
      </c>
      <c r="AX17" s="9">
        <f t="shared" si="22"/>
        <v>26.034340271768688</v>
      </c>
      <c r="AY17" s="11">
        <v>6.6</v>
      </c>
      <c r="AZ17" s="4">
        <v>11.6</v>
      </c>
      <c r="BA17" s="4">
        <v>3.54</v>
      </c>
      <c r="BB17" s="4"/>
      <c r="BC17" s="4"/>
      <c r="BD17" s="8" t="s">
        <v>19</v>
      </c>
      <c r="BE17" s="4">
        <v>4</v>
      </c>
      <c r="BF17" s="8">
        <v>2</v>
      </c>
      <c r="BG17" s="4">
        <v>2</v>
      </c>
      <c r="BH17" s="22"/>
    </row>
    <row r="18" spans="1:60" ht="15.75" customHeight="1" x14ac:dyDescent="0.25">
      <c r="A18" s="20">
        <v>728</v>
      </c>
      <c r="D18" s="4">
        <v>9</v>
      </c>
      <c r="E18" s="4">
        <v>2</v>
      </c>
      <c r="F18" s="8" t="s">
        <v>17</v>
      </c>
      <c r="G18" s="8" t="s">
        <v>18</v>
      </c>
      <c r="H18" s="4">
        <v>38.1098</v>
      </c>
      <c r="I18" s="4">
        <v>61.58</v>
      </c>
      <c r="J18" s="4">
        <v>36.79</v>
      </c>
      <c r="K18" s="4">
        <v>38.369999999999997</v>
      </c>
      <c r="L18" s="4">
        <v>2</v>
      </c>
      <c r="M18" s="4">
        <v>5</v>
      </c>
      <c r="N18" s="4" t="s">
        <v>19</v>
      </c>
      <c r="O18" s="4" t="s">
        <v>28</v>
      </c>
      <c r="P18" s="4">
        <v>8</v>
      </c>
      <c r="Q18" s="4" t="s">
        <v>19</v>
      </c>
      <c r="R18" s="4" t="s">
        <v>20</v>
      </c>
      <c r="S18" s="4">
        <v>19.28</v>
      </c>
      <c r="T18" s="4">
        <v>20.49</v>
      </c>
      <c r="U18" s="4">
        <v>16.96</v>
      </c>
      <c r="V18" s="17">
        <f t="shared" si="0"/>
        <v>18.91</v>
      </c>
      <c r="W18" s="4">
        <v>13.22</v>
      </c>
      <c r="X18" s="4">
        <v>14</v>
      </c>
      <c r="Y18" s="4">
        <v>11.29</v>
      </c>
      <c r="Z18" s="17">
        <f t="shared" si="1"/>
        <v>12.836666666666666</v>
      </c>
      <c r="AA18" s="4">
        <v>6.29</v>
      </c>
      <c r="AB18" s="4">
        <v>6.93</v>
      </c>
      <c r="AC18" s="4">
        <v>6.06</v>
      </c>
      <c r="AD18" s="17">
        <f t="shared" si="2"/>
        <v>6.4266666666666659</v>
      </c>
      <c r="AE18" s="8">
        <f t="shared" si="3"/>
        <v>39.93208847115681</v>
      </c>
      <c r="AF18" s="9">
        <f t="shared" si="4"/>
        <v>41.497711654842121</v>
      </c>
      <c r="AG18" s="9">
        <f t="shared" si="5"/>
        <v>39.957726899632341</v>
      </c>
      <c r="AH18" s="9">
        <f t="shared" si="6"/>
        <v>26.56435551008493</v>
      </c>
      <c r="AI18" s="9">
        <f t="shared" si="7"/>
        <v>26.387666068667144</v>
      </c>
      <c r="AJ18" s="9">
        <f t="shared" si="8"/>
        <v>21.89860660282168</v>
      </c>
      <c r="AK18" s="9">
        <f t="shared" si="9"/>
        <v>26.176808793458996</v>
      </c>
      <c r="AL18" s="9">
        <f t="shared" si="10"/>
        <v>27.40322568657772</v>
      </c>
      <c r="AM18" s="9">
        <f t="shared" si="11"/>
        <v>22.976690470074544</v>
      </c>
      <c r="AN18" s="9">
        <f t="shared" si="12"/>
        <v>40.462509008543755</v>
      </c>
      <c r="AO18" s="9">
        <f t="shared" si="13"/>
        <v>24.950209393857918</v>
      </c>
      <c r="AP18" s="9">
        <f t="shared" si="14"/>
        <v>25.518908316703754</v>
      </c>
      <c r="AQ18" s="9">
        <f t="shared" si="15"/>
        <v>47.960782659736424</v>
      </c>
      <c r="AR18" s="9">
        <f t="shared" si="16"/>
        <v>49.17691524628102</v>
      </c>
      <c r="AS18" s="9">
        <f t="shared" si="17"/>
        <v>45.564996544834145</v>
      </c>
      <c r="AT18" s="9">
        <f t="shared" si="18"/>
        <v>47.567564816950529</v>
      </c>
      <c r="AU18" s="9">
        <f t="shared" si="19"/>
        <v>33.63337299032527</v>
      </c>
      <c r="AV18" s="9">
        <f t="shared" si="20"/>
        <v>32.451564218422867</v>
      </c>
      <c r="AW18" s="9">
        <f t="shared" si="21"/>
        <v>28.724695609707705</v>
      </c>
      <c r="AX18" s="9">
        <f t="shared" si="22"/>
        <v>31.60321093948528</v>
      </c>
      <c r="AY18" s="11">
        <v>5.3</v>
      </c>
      <c r="AZ18" s="4">
        <v>10.6</v>
      </c>
      <c r="BA18" s="4">
        <v>3.21</v>
      </c>
      <c r="BB18" s="4"/>
      <c r="BC18" s="4"/>
      <c r="BD18" s="8" t="s">
        <v>19</v>
      </c>
      <c r="BE18" s="4">
        <v>2</v>
      </c>
      <c r="BF18" s="8">
        <v>2</v>
      </c>
      <c r="BG18" s="4">
        <v>2</v>
      </c>
      <c r="BH18" s="22"/>
    </row>
    <row r="19" spans="1:60" ht="13.2" x14ac:dyDescent="0.25">
      <c r="A19" s="20">
        <v>728</v>
      </c>
      <c r="D19" s="4">
        <v>9</v>
      </c>
      <c r="E19" s="4">
        <v>3</v>
      </c>
      <c r="F19" s="8" t="s">
        <v>17</v>
      </c>
      <c r="G19" s="8" t="s">
        <v>18</v>
      </c>
      <c r="H19" s="4">
        <v>40.977400000000003</v>
      </c>
      <c r="I19" s="4">
        <v>63.05</v>
      </c>
      <c r="J19" s="4">
        <v>35.57</v>
      </c>
      <c r="K19" s="4">
        <v>38.15</v>
      </c>
      <c r="L19" s="4">
        <v>3</v>
      </c>
      <c r="M19" s="4">
        <v>5</v>
      </c>
      <c r="N19" s="4" t="s">
        <v>19</v>
      </c>
      <c r="O19" s="4" t="s">
        <v>27</v>
      </c>
      <c r="P19" s="4">
        <v>4</v>
      </c>
      <c r="Q19" s="4" t="s">
        <v>19</v>
      </c>
      <c r="R19" s="4" t="s">
        <v>20</v>
      </c>
      <c r="S19" s="4">
        <v>13.52</v>
      </c>
      <c r="T19" s="4">
        <v>14.29</v>
      </c>
      <c r="U19" s="4">
        <v>13.76</v>
      </c>
      <c r="V19" s="17">
        <f t="shared" si="0"/>
        <v>13.856666666666667</v>
      </c>
      <c r="W19" s="4">
        <v>9.3699999999999992</v>
      </c>
      <c r="X19" s="4">
        <v>9.7899999999999991</v>
      </c>
      <c r="Y19" s="4">
        <v>9.57</v>
      </c>
      <c r="Z19" s="17">
        <f t="shared" si="1"/>
        <v>9.5766666666666662</v>
      </c>
      <c r="AA19" s="4">
        <v>6.56</v>
      </c>
      <c r="AB19" s="4">
        <v>6.44</v>
      </c>
      <c r="AC19" s="4">
        <v>6.41</v>
      </c>
      <c r="AD19" s="17">
        <f t="shared" si="2"/>
        <v>6.47</v>
      </c>
      <c r="AE19" s="8">
        <f t="shared" si="3"/>
        <v>32.624117787874049</v>
      </c>
      <c r="AF19" s="9">
        <f t="shared" si="4"/>
        <v>34.445688310324599</v>
      </c>
      <c r="AG19" s="9">
        <f t="shared" si="5"/>
        <v>32.640079333758592</v>
      </c>
      <c r="AH19" s="9">
        <f t="shared" si="6"/>
        <v>14.086446610554432</v>
      </c>
      <c r="AI19" s="9">
        <f t="shared" si="7"/>
        <v>15.876584220558382</v>
      </c>
      <c r="AJ19" s="9">
        <f t="shared" si="8"/>
        <v>15.278369477870124</v>
      </c>
      <c r="AK19" s="9">
        <f t="shared" si="9"/>
        <v>19.508128646832404</v>
      </c>
      <c r="AL19" s="9">
        <f t="shared" si="10"/>
        <v>20.295211805415875</v>
      </c>
      <c r="AM19" s="9">
        <f t="shared" si="11"/>
        <v>19.885083251958605</v>
      </c>
      <c r="AN19" s="9">
        <f t="shared" si="12"/>
        <v>33.23662847731908</v>
      </c>
      <c r="AO19" s="9">
        <f t="shared" si="13"/>
        <v>15.08046676966098</v>
      </c>
      <c r="AP19" s="9">
        <f t="shared" si="14"/>
        <v>19.896141234735627</v>
      </c>
      <c r="AQ19" s="9">
        <f t="shared" si="15"/>
        <v>35.535349154737183</v>
      </c>
      <c r="AR19" s="9">
        <f t="shared" si="16"/>
        <v>37.928503393681595</v>
      </c>
      <c r="AS19" s="9">
        <f t="shared" si="17"/>
        <v>36.038914423389173</v>
      </c>
      <c r="AT19" s="9">
        <f t="shared" si="18"/>
        <v>36.500922323935981</v>
      </c>
      <c r="AU19" s="9">
        <f t="shared" si="19"/>
        <v>23.353728440985883</v>
      </c>
      <c r="AV19" s="9">
        <f t="shared" si="20"/>
        <v>24.745753262399663</v>
      </c>
      <c r="AW19" s="9">
        <f t="shared" si="21"/>
        <v>25.083643640181013</v>
      </c>
      <c r="AX19" s="9">
        <f t="shared" si="22"/>
        <v>24.394375114522187</v>
      </c>
      <c r="AY19" s="11">
        <v>4.6100000000000003</v>
      </c>
      <c r="AZ19" s="4">
        <v>12.4</v>
      </c>
      <c r="BA19" s="4">
        <v>3.43</v>
      </c>
      <c r="BB19" s="4"/>
      <c r="BC19" s="4"/>
      <c r="BD19" s="8" t="s">
        <v>19</v>
      </c>
      <c r="BE19" s="4">
        <v>4</v>
      </c>
      <c r="BF19" s="8">
        <v>2</v>
      </c>
      <c r="BG19" s="4">
        <v>2</v>
      </c>
      <c r="BH19" s="22"/>
    </row>
    <row r="20" spans="1:60" ht="13.2" x14ac:dyDescent="0.25">
      <c r="A20" s="20">
        <v>735</v>
      </c>
      <c r="D20" s="4">
        <v>16</v>
      </c>
      <c r="E20" s="4">
        <v>1</v>
      </c>
      <c r="F20" s="8" t="s">
        <v>17</v>
      </c>
      <c r="G20" s="8" t="s">
        <v>18</v>
      </c>
      <c r="H20" s="4">
        <v>33.6526</v>
      </c>
      <c r="I20" s="4">
        <v>61.23</v>
      </c>
      <c r="J20" s="4">
        <v>35.85</v>
      </c>
      <c r="K20" s="4">
        <v>38.58</v>
      </c>
      <c r="L20" s="4">
        <v>4</v>
      </c>
      <c r="M20" s="4">
        <v>6</v>
      </c>
      <c r="N20" s="4" t="s">
        <v>19</v>
      </c>
      <c r="O20" s="4" t="s">
        <v>27</v>
      </c>
      <c r="P20" s="4">
        <v>5</v>
      </c>
      <c r="Q20" s="4" t="s">
        <v>19</v>
      </c>
      <c r="R20" s="4" t="s">
        <v>20</v>
      </c>
      <c r="S20" s="4">
        <v>11.3</v>
      </c>
      <c r="T20" s="4">
        <v>10.58</v>
      </c>
      <c r="U20" s="4">
        <v>12.84</v>
      </c>
      <c r="V20" s="17">
        <f t="shared" si="0"/>
        <v>11.573333333333332</v>
      </c>
      <c r="W20" s="4">
        <v>7.79</v>
      </c>
      <c r="X20" s="4">
        <v>7.38</v>
      </c>
      <c r="Y20" s="4">
        <v>8.59</v>
      </c>
      <c r="Z20" s="17">
        <f t="shared" si="1"/>
        <v>7.919999999999999</v>
      </c>
      <c r="AA20" s="4">
        <v>6.23</v>
      </c>
      <c r="AB20" s="4">
        <v>6.04</v>
      </c>
      <c r="AC20" s="4">
        <v>6.12</v>
      </c>
      <c r="AD20" s="17">
        <f t="shared" si="2"/>
        <v>6.13</v>
      </c>
      <c r="AE20" s="8">
        <f t="shared" si="3"/>
        <v>30.19627954092563</v>
      </c>
      <c r="AF20" s="9">
        <f t="shared" si="4"/>
        <v>28.421419776950895</v>
      </c>
      <c r="AG20" s="9">
        <f t="shared" si="5"/>
        <v>34.40327351679209</v>
      </c>
      <c r="AH20" s="9">
        <f t="shared" si="6"/>
        <v>9.8875217850026171</v>
      </c>
      <c r="AI20" s="9">
        <f t="shared" si="7"/>
        <v>9.1045454875191449</v>
      </c>
      <c r="AJ20" s="9">
        <f t="shared" si="8"/>
        <v>13.091101872093185</v>
      </c>
      <c r="AK20" s="9">
        <f t="shared" si="9"/>
        <v>16.376262909730642</v>
      </c>
      <c r="AL20" s="9">
        <f t="shared" si="10"/>
        <v>15.512740280718212</v>
      </c>
      <c r="AM20" s="9">
        <f t="shared" si="11"/>
        <v>17.998094064226599</v>
      </c>
      <c r="AN20" s="9">
        <f t="shared" si="12"/>
        <v>31.006990944889537</v>
      </c>
      <c r="AO20" s="9">
        <f t="shared" si="13"/>
        <v>10.694389714871649</v>
      </c>
      <c r="AP20" s="9">
        <f t="shared" si="14"/>
        <v>16.629032418225151</v>
      </c>
      <c r="AQ20" s="9">
        <f t="shared" si="15"/>
        <v>31.773863239502763</v>
      </c>
      <c r="AR20" s="9">
        <f t="shared" si="16"/>
        <v>29.84409239149284</v>
      </c>
      <c r="AS20" s="9">
        <f t="shared" si="17"/>
        <v>36.809810878307019</v>
      </c>
      <c r="AT20" s="9">
        <f t="shared" si="18"/>
        <v>32.809255503100871</v>
      </c>
      <c r="AU20" s="9">
        <f t="shared" si="19"/>
        <v>18.130605765581308</v>
      </c>
      <c r="AV20" s="9">
        <f t="shared" si="20"/>
        <v>17.762391896715336</v>
      </c>
      <c r="AW20" s="9">
        <f t="shared" si="21"/>
        <v>20.832774736549251</v>
      </c>
      <c r="AX20" s="9">
        <f t="shared" si="22"/>
        <v>18.908590799615297</v>
      </c>
      <c r="AY20" s="11">
        <v>5.15</v>
      </c>
      <c r="AZ20" s="4">
        <v>10.8</v>
      </c>
      <c r="BA20" s="4">
        <v>3.34</v>
      </c>
      <c r="BB20" s="4"/>
      <c r="BC20" s="4"/>
      <c r="BD20" s="8" t="s">
        <v>19</v>
      </c>
      <c r="BE20" s="4">
        <v>4</v>
      </c>
      <c r="BF20" s="8">
        <v>2</v>
      </c>
      <c r="BG20" s="4">
        <v>2</v>
      </c>
      <c r="BH20" s="22"/>
    </row>
    <row r="21" spans="1:60" ht="13.2" x14ac:dyDescent="0.25">
      <c r="A21" s="20">
        <v>735</v>
      </c>
      <c r="D21" s="4">
        <v>16</v>
      </c>
      <c r="E21" s="4">
        <v>2</v>
      </c>
      <c r="F21" s="8" t="s">
        <v>17</v>
      </c>
      <c r="G21" s="8" t="s">
        <v>18</v>
      </c>
      <c r="H21" s="4">
        <v>42.628399999999999</v>
      </c>
      <c r="I21" s="4">
        <v>66.64</v>
      </c>
      <c r="J21" s="4">
        <v>36.46</v>
      </c>
      <c r="K21" s="4">
        <v>4.3899999999999997</v>
      </c>
      <c r="L21" s="4">
        <v>5</v>
      </c>
      <c r="M21" s="4">
        <v>6</v>
      </c>
      <c r="N21" s="4" t="s">
        <v>19</v>
      </c>
      <c r="O21" s="4" t="s">
        <v>28</v>
      </c>
      <c r="P21" s="4">
        <v>4</v>
      </c>
      <c r="Q21" s="4" t="s">
        <v>19</v>
      </c>
      <c r="R21" s="4" t="s">
        <v>20</v>
      </c>
      <c r="S21" s="4">
        <v>11.65</v>
      </c>
      <c r="T21" s="4">
        <v>10.17</v>
      </c>
      <c r="U21" s="4">
        <v>14.87</v>
      </c>
      <c r="V21" s="17">
        <f t="shared" si="0"/>
        <v>12.229999999999999</v>
      </c>
      <c r="W21" s="4">
        <v>8.06</v>
      </c>
      <c r="X21" s="4">
        <v>7.08</v>
      </c>
      <c r="Y21" s="4">
        <v>10.02</v>
      </c>
      <c r="Z21" s="17">
        <f t="shared" si="1"/>
        <v>8.3866666666666667</v>
      </c>
      <c r="AA21" s="4">
        <v>5.96</v>
      </c>
      <c r="AB21" s="4">
        <v>5.85</v>
      </c>
      <c r="AC21" s="4">
        <v>6.44</v>
      </c>
      <c r="AD21" s="17">
        <f t="shared" si="2"/>
        <v>6.083333333333333</v>
      </c>
      <c r="AE21" s="8">
        <f t="shared" si="3"/>
        <v>30.407252633391614</v>
      </c>
      <c r="AF21" s="9">
        <f t="shared" si="4"/>
        <v>27.996824088937224</v>
      </c>
      <c r="AG21" s="9">
        <f t="shared" si="5"/>
        <v>36.454034785282587</v>
      </c>
      <c r="AH21" s="9">
        <f t="shared" si="6"/>
        <v>11.853032966294631</v>
      </c>
      <c r="AI21" s="9">
        <f t="shared" si="7"/>
        <v>8.7058213944484208</v>
      </c>
      <c r="AJ21" s="9">
        <f t="shared" si="8"/>
        <v>16.607399997287981</v>
      </c>
      <c r="AK21" s="9">
        <f t="shared" si="9"/>
        <v>16.932561394461871</v>
      </c>
      <c r="AL21" s="9">
        <f t="shared" si="10"/>
        <v>14.865592493908167</v>
      </c>
      <c r="AM21" s="9">
        <f t="shared" si="11"/>
        <v>20.719084955919037</v>
      </c>
      <c r="AN21" s="9">
        <f t="shared" si="12"/>
        <v>31.619370502537141</v>
      </c>
      <c r="AO21" s="9">
        <f t="shared" si="13"/>
        <v>12.388751452677011</v>
      </c>
      <c r="AP21" s="9">
        <f t="shared" si="14"/>
        <v>17.50574628142969</v>
      </c>
      <c r="AQ21" s="9">
        <f t="shared" si="15"/>
        <v>32.635799411244221</v>
      </c>
      <c r="AR21" s="9">
        <f t="shared" si="16"/>
        <v>29.319165834295685</v>
      </c>
      <c r="AS21" s="9">
        <f t="shared" si="17"/>
        <v>40.058736709942735</v>
      </c>
      <c r="AT21" s="9">
        <f t="shared" si="18"/>
        <v>34.004567318494217</v>
      </c>
      <c r="AU21" s="9">
        <f t="shared" si="19"/>
        <v>21.296304263614871</v>
      </c>
      <c r="AV21" s="9">
        <f t="shared" si="20"/>
        <v>17.273471526767047</v>
      </c>
      <c r="AW21" s="9">
        <f t="shared" si="21"/>
        <v>24.492632432134894</v>
      </c>
      <c r="AX21" s="9">
        <f t="shared" si="22"/>
        <v>21.020802740838935</v>
      </c>
      <c r="AY21" s="11">
        <v>5.71</v>
      </c>
      <c r="AZ21" s="4">
        <v>9.4</v>
      </c>
      <c r="BA21" s="4">
        <v>3.51</v>
      </c>
      <c r="BB21" s="4"/>
      <c r="BC21" s="4"/>
      <c r="BD21" s="8" t="s">
        <v>19</v>
      </c>
      <c r="BE21" s="4">
        <v>4</v>
      </c>
      <c r="BF21" s="8">
        <v>2</v>
      </c>
      <c r="BG21" s="4">
        <v>2</v>
      </c>
      <c r="BH21" s="22"/>
    </row>
    <row r="22" spans="1:60" ht="13.2" x14ac:dyDescent="0.25">
      <c r="A22" s="20">
        <v>735</v>
      </c>
      <c r="D22" s="4">
        <v>16</v>
      </c>
      <c r="E22" s="4">
        <v>3</v>
      </c>
      <c r="F22" s="8" t="s">
        <v>17</v>
      </c>
      <c r="G22" s="8" t="s">
        <v>18</v>
      </c>
      <c r="H22" s="4">
        <v>30.397400000000001</v>
      </c>
      <c r="I22" s="4">
        <v>64.61</v>
      </c>
      <c r="J22" s="4">
        <v>32.700000000000003</v>
      </c>
      <c r="K22" s="4">
        <v>42.63</v>
      </c>
      <c r="L22" s="4">
        <v>4</v>
      </c>
      <c r="M22" s="4">
        <v>6</v>
      </c>
      <c r="N22" s="4" t="s">
        <v>19</v>
      </c>
      <c r="O22" s="4" t="s">
        <v>28</v>
      </c>
      <c r="P22" s="4">
        <v>5</v>
      </c>
      <c r="Q22" s="4" t="s">
        <v>19</v>
      </c>
      <c r="R22" s="4" t="s">
        <v>20</v>
      </c>
      <c r="S22" s="4">
        <v>14.11</v>
      </c>
      <c r="T22" s="4">
        <v>10.19</v>
      </c>
      <c r="U22" s="4">
        <v>10.43</v>
      </c>
      <c r="V22" s="17">
        <f t="shared" si="0"/>
        <v>11.576666666666666</v>
      </c>
      <c r="W22" s="4">
        <v>9.5</v>
      </c>
      <c r="X22" s="4">
        <v>7.06</v>
      </c>
      <c r="Y22" s="4">
        <v>7.33</v>
      </c>
      <c r="Z22" s="17">
        <f t="shared" si="1"/>
        <v>7.9633333333333338</v>
      </c>
      <c r="AA22" s="4">
        <v>6.1</v>
      </c>
      <c r="AB22" s="4">
        <v>5.88</v>
      </c>
      <c r="AC22" s="4">
        <v>5.91</v>
      </c>
      <c r="AD22" s="17">
        <f t="shared" si="2"/>
        <v>5.9633333333333338</v>
      </c>
      <c r="AE22" s="8">
        <f t="shared" si="3"/>
        <v>35.574156826847307</v>
      </c>
      <c r="AF22" s="9">
        <f t="shared" si="4"/>
        <v>28.343137000544694</v>
      </c>
      <c r="AG22" s="9">
        <f t="shared" si="5"/>
        <v>27.713817971347311</v>
      </c>
      <c r="AH22" s="9">
        <f t="shared" si="6"/>
        <v>16.192288599761596</v>
      </c>
      <c r="AI22" s="9">
        <f t="shared" si="7"/>
        <v>8.5166195361960515</v>
      </c>
      <c r="AJ22" s="9">
        <f t="shared" si="8"/>
        <v>9.4095503053369676</v>
      </c>
      <c r="AK22" s="9">
        <f t="shared" si="9"/>
        <v>19.753601217220066</v>
      </c>
      <c r="AL22" s="9">
        <f t="shared" si="10"/>
        <v>14.821966192960499</v>
      </c>
      <c r="AM22" s="9">
        <f t="shared" si="11"/>
        <v>15.40580837997965</v>
      </c>
      <c r="AN22" s="9">
        <f t="shared" si="12"/>
        <v>30.543703932913104</v>
      </c>
      <c r="AO22" s="9">
        <f t="shared" si="13"/>
        <v>11.37281948043154</v>
      </c>
      <c r="AP22" s="9">
        <f t="shared" si="14"/>
        <v>16.660458596720073</v>
      </c>
      <c r="AQ22" s="9">
        <f t="shared" si="15"/>
        <v>39.085941769888265</v>
      </c>
      <c r="AR22" s="9">
        <f t="shared" si="16"/>
        <v>29.595037140641704</v>
      </c>
      <c r="AS22" s="9">
        <f t="shared" si="17"/>
        <v>29.26765011916126</v>
      </c>
      <c r="AT22" s="9">
        <f t="shared" si="18"/>
        <v>32.64954300989708</v>
      </c>
      <c r="AU22" s="9">
        <f t="shared" si="19"/>
        <v>24.473603770008555</v>
      </c>
      <c r="AV22" s="9">
        <f t="shared" si="20"/>
        <v>16.724608771746556</v>
      </c>
      <c r="AW22" s="9">
        <f t="shared" si="21"/>
        <v>18.753664442300746</v>
      </c>
      <c r="AX22" s="9">
        <f t="shared" si="22"/>
        <v>19.983958994685285</v>
      </c>
      <c r="AY22" s="11">
        <v>5.45</v>
      </c>
      <c r="AZ22" s="4">
        <v>10.8</v>
      </c>
      <c r="BA22" s="4">
        <v>3.52</v>
      </c>
      <c r="BB22" s="4"/>
      <c r="BC22" s="4"/>
      <c r="BD22" s="8" t="s">
        <v>19</v>
      </c>
      <c r="BE22" s="4">
        <v>3</v>
      </c>
      <c r="BF22" s="8">
        <v>2</v>
      </c>
      <c r="BG22" s="4">
        <v>2</v>
      </c>
      <c r="BH22" s="22"/>
    </row>
    <row r="23" spans="1:60" ht="13.2" x14ac:dyDescent="0.25">
      <c r="A23" s="20">
        <v>733</v>
      </c>
      <c r="D23" s="4">
        <v>11</v>
      </c>
      <c r="E23" s="4">
        <v>1</v>
      </c>
      <c r="F23" s="8" t="s">
        <v>17</v>
      </c>
      <c r="G23" s="8" t="s">
        <v>18</v>
      </c>
      <c r="H23" s="4">
        <v>41.524000000000001</v>
      </c>
      <c r="I23" s="4">
        <v>70.16</v>
      </c>
      <c r="J23" s="4">
        <v>36.770000000000003</v>
      </c>
      <c r="K23" s="4">
        <v>37.61</v>
      </c>
      <c r="L23" s="4">
        <v>2</v>
      </c>
      <c r="M23" s="4">
        <v>5</v>
      </c>
      <c r="N23" s="4" t="s">
        <v>19</v>
      </c>
      <c r="O23" s="4" t="s">
        <v>28</v>
      </c>
      <c r="P23" s="4">
        <v>5</v>
      </c>
      <c r="Q23" s="4" t="s">
        <v>19</v>
      </c>
      <c r="R23" s="4" t="s">
        <v>20</v>
      </c>
      <c r="S23" s="4">
        <v>14.43</v>
      </c>
      <c r="T23" s="4">
        <v>15.35</v>
      </c>
      <c r="U23" s="4">
        <v>14.61</v>
      </c>
      <c r="V23" s="17">
        <f t="shared" si="0"/>
        <v>14.796666666666667</v>
      </c>
      <c r="W23" s="4">
        <v>9.85</v>
      </c>
      <c r="X23" s="4">
        <v>11.05</v>
      </c>
      <c r="Y23" s="4">
        <v>10.029999999999999</v>
      </c>
      <c r="Z23" s="17">
        <f t="shared" si="1"/>
        <v>10.31</v>
      </c>
      <c r="AA23" s="4">
        <v>5.99</v>
      </c>
      <c r="AB23" s="4">
        <v>6.45</v>
      </c>
      <c r="AC23" s="4">
        <v>6.32</v>
      </c>
      <c r="AD23" s="17">
        <f t="shared" si="2"/>
        <v>6.2533333333333339</v>
      </c>
      <c r="AE23" s="8">
        <f t="shared" si="3"/>
        <v>34.899822653274818</v>
      </c>
      <c r="AF23" s="9">
        <f t="shared" si="4"/>
        <v>31.636143255490467</v>
      </c>
      <c r="AG23" s="9">
        <f t="shared" si="5"/>
        <v>34.66519035982563</v>
      </c>
      <c r="AH23" s="9">
        <f t="shared" si="6"/>
        <v>17.729244011302882</v>
      </c>
      <c r="AI23" s="9">
        <f t="shared" si="7"/>
        <v>19.745468625561212</v>
      </c>
      <c r="AJ23" s="9">
        <f t="shared" si="8"/>
        <v>17.076135223427574</v>
      </c>
      <c r="AK23" s="9">
        <f t="shared" si="9"/>
        <v>20.406263197422504</v>
      </c>
      <c r="AL23" s="9">
        <f t="shared" si="10"/>
        <v>22.560186721539615</v>
      </c>
      <c r="AM23" s="9">
        <f t="shared" si="11"/>
        <v>20.737403283302427</v>
      </c>
      <c r="AN23" s="9">
        <f t="shared" si="12"/>
        <v>33.733718756196971</v>
      </c>
      <c r="AO23" s="9">
        <f t="shared" si="13"/>
        <v>18.183615953430557</v>
      </c>
      <c r="AP23" s="9">
        <f t="shared" si="14"/>
        <v>21.234617734088182</v>
      </c>
      <c r="AQ23" s="9">
        <f t="shared" si="15"/>
        <v>39.144906621964921</v>
      </c>
      <c r="AR23" s="9">
        <f t="shared" si="16"/>
        <v>37.292480358980377</v>
      </c>
      <c r="AS23" s="9">
        <f t="shared" si="17"/>
        <v>38.64284949187536</v>
      </c>
      <c r="AT23" s="9">
        <f t="shared" si="18"/>
        <v>38.36007882427355</v>
      </c>
      <c r="AU23" s="9">
        <f t="shared" si="19"/>
        <v>26.93074453179479</v>
      </c>
      <c r="AV23" s="9">
        <f t="shared" si="20"/>
        <v>31.970048572442892</v>
      </c>
      <c r="AW23" s="9">
        <f t="shared" si="21"/>
        <v>26.224940240548772</v>
      </c>
      <c r="AX23" s="9">
        <f t="shared" si="22"/>
        <v>28.375244448262151</v>
      </c>
      <c r="AY23" s="11">
        <v>4.3899999999999997</v>
      </c>
      <c r="AZ23" s="4">
        <v>11.1</v>
      </c>
      <c r="BA23" s="4">
        <v>3.42</v>
      </c>
      <c r="BB23" s="4"/>
      <c r="BC23" s="4"/>
      <c r="BD23" s="8" t="s">
        <v>19</v>
      </c>
      <c r="BE23" s="4">
        <v>4</v>
      </c>
      <c r="BF23" s="8">
        <v>2</v>
      </c>
      <c r="BG23" s="4">
        <v>2</v>
      </c>
      <c r="BH23" s="22"/>
    </row>
    <row r="24" spans="1:60" ht="13.2" x14ac:dyDescent="0.25">
      <c r="A24" s="20">
        <v>733</v>
      </c>
      <c r="D24" s="4">
        <v>11</v>
      </c>
      <c r="E24" s="4">
        <v>2</v>
      </c>
      <c r="F24" s="8" t="s">
        <v>17</v>
      </c>
      <c r="G24" s="8" t="s">
        <v>18</v>
      </c>
      <c r="H24" s="4">
        <v>52.243600000000001</v>
      </c>
      <c r="I24" s="4">
        <v>67.069999999999993</v>
      </c>
      <c r="J24" s="4">
        <v>40.74</v>
      </c>
      <c r="K24" s="4">
        <v>43.82</v>
      </c>
      <c r="L24" s="4">
        <v>5</v>
      </c>
      <c r="M24" s="4">
        <v>6</v>
      </c>
      <c r="N24" s="4" t="s">
        <v>19</v>
      </c>
      <c r="O24" s="4" t="s">
        <v>28</v>
      </c>
      <c r="P24" s="4">
        <v>8</v>
      </c>
      <c r="Q24" s="4" t="s">
        <v>19</v>
      </c>
      <c r="R24" s="4" t="s">
        <v>20</v>
      </c>
      <c r="S24" s="4">
        <v>11.55</v>
      </c>
      <c r="T24" s="4">
        <v>11.44</v>
      </c>
      <c r="U24" s="4">
        <v>10.18</v>
      </c>
      <c r="V24" s="17">
        <f t="shared" si="0"/>
        <v>11.056666666666667</v>
      </c>
      <c r="W24" s="4">
        <v>8.02</v>
      </c>
      <c r="X24" s="4">
        <v>7.83</v>
      </c>
      <c r="Y24" s="4">
        <v>7.33</v>
      </c>
      <c r="Z24" s="17">
        <f t="shared" si="1"/>
        <v>7.7266666666666666</v>
      </c>
      <c r="AA24" s="4">
        <v>5.82</v>
      </c>
      <c r="AB24" s="4">
        <v>5.57</v>
      </c>
      <c r="AC24" s="4">
        <v>5.77</v>
      </c>
      <c r="AD24" s="17">
        <f t="shared" si="2"/>
        <v>5.72</v>
      </c>
      <c r="AE24" s="8">
        <f t="shared" si="3"/>
        <v>30.018597769391477</v>
      </c>
      <c r="AF24" s="9">
        <f t="shared" si="4"/>
        <v>30.886757468685605</v>
      </c>
      <c r="AG24" s="9">
        <f t="shared" si="5"/>
        <v>25.747461027874369</v>
      </c>
      <c r="AH24" s="9">
        <f t="shared" si="6"/>
        <v>12.242768387416087</v>
      </c>
      <c r="AI24" s="9">
        <f t="shared" si="7"/>
        <v>12.531831305417157</v>
      </c>
      <c r="AJ24" s="9">
        <f t="shared" si="8"/>
        <v>9.9426225579012755</v>
      </c>
      <c r="AK24" s="9">
        <f t="shared" si="9"/>
        <v>16.85074123973461</v>
      </c>
      <c r="AL24" s="9">
        <f t="shared" si="10"/>
        <v>16.459279104749079</v>
      </c>
      <c r="AM24" s="9">
        <f t="shared" si="11"/>
        <v>15.40580837997965</v>
      </c>
      <c r="AN24" s="9">
        <f t="shared" si="12"/>
        <v>28.88427208865048</v>
      </c>
      <c r="AO24" s="9">
        <f t="shared" si="13"/>
        <v>11.572407416911505</v>
      </c>
      <c r="AP24" s="9">
        <f t="shared" si="14"/>
        <v>16.238609574821112</v>
      </c>
      <c r="AQ24" s="9">
        <f t="shared" si="15"/>
        <v>32.419154674797269</v>
      </c>
      <c r="AR24" s="9">
        <f t="shared" si="16"/>
        <v>33.332245390864976</v>
      </c>
      <c r="AS24" s="9">
        <f t="shared" si="17"/>
        <v>27.600498051861251</v>
      </c>
      <c r="AT24" s="9">
        <f t="shared" si="18"/>
        <v>31.11729937250783</v>
      </c>
      <c r="AU24" s="9">
        <f t="shared" si="19"/>
        <v>22.187572970947109</v>
      </c>
      <c r="AV24" s="9">
        <f t="shared" si="20"/>
        <v>22.084104942454072</v>
      </c>
      <c r="AW24" s="9">
        <f t="shared" si="21"/>
        <v>21.114533504897526</v>
      </c>
      <c r="AX24" s="9">
        <f t="shared" si="22"/>
        <v>21.795403806099568</v>
      </c>
      <c r="AY24" s="11">
        <v>6.8</v>
      </c>
      <c r="AZ24" s="4">
        <v>10.5</v>
      </c>
      <c r="BA24" s="4">
        <v>3.31</v>
      </c>
      <c r="BB24" s="4"/>
      <c r="BC24" s="4"/>
      <c r="BD24" s="8" t="s">
        <v>19</v>
      </c>
      <c r="BE24" s="4">
        <v>6</v>
      </c>
      <c r="BF24" s="8">
        <v>2</v>
      </c>
      <c r="BG24" s="4">
        <v>2</v>
      </c>
      <c r="BH24" s="22"/>
    </row>
    <row r="25" spans="1:60" ht="13.2" x14ac:dyDescent="0.25">
      <c r="A25" s="20">
        <v>733</v>
      </c>
      <c r="D25" s="4">
        <v>11</v>
      </c>
      <c r="E25" s="4">
        <v>3</v>
      </c>
      <c r="F25" s="8" t="s">
        <v>17</v>
      </c>
      <c r="G25" s="8" t="s">
        <v>18</v>
      </c>
      <c r="H25" s="4">
        <v>44.963999999999999</v>
      </c>
      <c r="I25" s="4">
        <v>64.430000000000007</v>
      </c>
      <c r="J25" s="4">
        <v>38.54</v>
      </c>
      <c r="K25" s="4">
        <v>38.15</v>
      </c>
      <c r="L25" s="4">
        <v>2</v>
      </c>
      <c r="M25" s="4">
        <v>5</v>
      </c>
      <c r="N25" s="4" t="s">
        <v>19</v>
      </c>
      <c r="O25" s="4" t="s">
        <v>30</v>
      </c>
      <c r="P25" s="4">
        <v>8</v>
      </c>
      <c r="Q25" s="4" t="s">
        <v>19</v>
      </c>
      <c r="R25" s="4" t="s">
        <v>20</v>
      </c>
      <c r="S25" s="4">
        <v>12.73</v>
      </c>
      <c r="T25" s="4">
        <v>13.09</v>
      </c>
      <c r="U25" s="4">
        <v>14.8</v>
      </c>
      <c r="V25" s="17">
        <f t="shared" si="0"/>
        <v>13.540000000000001</v>
      </c>
      <c r="W25" s="4">
        <v>8.86</v>
      </c>
      <c r="X25" s="4">
        <v>9.27</v>
      </c>
      <c r="Y25" s="4">
        <v>10.24</v>
      </c>
      <c r="Z25" s="17">
        <f t="shared" si="1"/>
        <v>9.4566666666666652</v>
      </c>
      <c r="AA25" s="4">
        <v>6</v>
      </c>
      <c r="AB25" s="4">
        <v>6.43</v>
      </c>
      <c r="AC25" s="4">
        <v>6.28</v>
      </c>
      <c r="AD25" s="17">
        <f t="shared" si="2"/>
        <v>6.2366666666666672</v>
      </c>
      <c r="AE25" s="8">
        <f t="shared" si="3"/>
        <v>31.341271003379244</v>
      </c>
      <c r="AF25" s="9">
        <f t="shared" si="4"/>
        <v>30.46647043744241</v>
      </c>
      <c r="AG25" s="9">
        <f t="shared" si="5"/>
        <v>34.267079255378057</v>
      </c>
      <c r="AH25" s="9">
        <f t="shared" si="6"/>
        <v>14.453748508431991</v>
      </c>
      <c r="AI25" s="9">
        <f t="shared" si="7"/>
        <v>14.228255134474599</v>
      </c>
      <c r="AJ25" s="9">
        <f t="shared" si="8"/>
        <v>17.882422870140857</v>
      </c>
      <c r="AK25" s="9">
        <f t="shared" si="9"/>
        <v>18.528272473438342</v>
      </c>
      <c r="AL25" s="9">
        <f t="shared" si="10"/>
        <v>19.318142646520919</v>
      </c>
      <c r="AM25" s="9">
        <f t="shared" si="11"/>
        <v>21.119999999999997</v>
      </c>
      <c r="AN25" s="9">
        <f t="shared" si="12"/>
        <v>32.024940232066569</v>
      </c>
      <c r="AO25" s="9">
        <f t="shared" si="13"/>
        <v>15.52147550434915</v>
      </c>
      <c r="AP25" s="9">
        <f t="shared" si="14"/>
        <v>19.655471706653085</v>
      </c>
      <c r="AQ25" s="9">
        <f t="shared" si="15"/>
        <v>34.513564203835287</v>
      </c>
      <c r="AR25" s="9">
        <f t="shared" si="16"/>
        <v>33.625125502921996</v>
      </c>
      <c r="AS25" s="9">
        <f t="shared" si="17"/>
        <v>38.652474285624947</v>
      </c>
      <c r="AT25" s="9">
        <f t="shared" si="18"/>
        <v>35.597054664127405</v>
      </c>
      <c r="AU25" s="9">
        <f t="shared" si="19"/>
        <v>24.757876736506372</v>
      </c>
      <c r="AV25" s="9">
        <f t="shared" si="20"/>
        <v>25.033212936336113</v>
      </c>
      <c r="AW25" s="9">
        <f t="shared" si="21"/>
        <v>27.557998428204144</v>
      </c>
      <c r="AX25" s="9">
        <f t="shared" si="22"/>
        <v>25.783029367015544</v>
      </c>
      <c r="AY25" s="11">
        <v>5.16</v>
      </c>
      <c r="AZ25" s="4">
        <v>11</v>
      </c>
      <c r="BA25" s="4">
        <v>3.37</v>
      </c>
      <c r="BB25" s="4"/>
      <c r="BC25" s="4"/>
      <c r="BD25" s="8" t="s">
        <v>19</v>
      </c>
      <c r="BE25" s="4">
        <v>4</v>
      </c>
      <c r="BF25" s="8">
        <v>2</v>
      </c>
      <c r="BG25" s="4">
        <v>2</v>
      </c>
      <c r="BH25" s="22"/>
    </row>
    <row r="26" spans="1:60" ht="13.2" x14ac:dyDescent="0.25">
      <c r="A26" s="20">
        <v>726</v>
      </c>
      <c r="D26" s="4">
        <v>4</v>
      </c>
      <c r="E26" s="4">
        <v>1</v>
      </c>
      <c r="F26" s="8" t="s">
        <v>17</v>
      </c>
      <c r="G26" s="8" t="s">
        <v>18</v>
      </c>
      <c r="H26" s="4">
        <v>51.333799999999997</v>
      </c>
      <c r="I26" s="4">
        <v>72.150000000000006</v>
      </c>
      <c r="J26" s="4">
        <v>38.03</v>
      </c>
      <c r="K26" s="4">
        <v>44.38</v>
      </c>
      <c r="L26" s="4">
        <v>3</v>
      </c>
      <c r="M26" s="4">
        <v>6</v>
      </c>
      <c r="N26" s="4" t="s">
        <v>19</v>
      </c>
      <c r="O26" s="4" t="s">
        <v>30</v>
      </c>
      <c r="P26" s="4">
        <v>4</v>
      </c>
      <c r="Q26" s="4" t="s">
        <v>19</v>
      </c>
      <c r="R26" s="4" t="s">
        <v>20</v>
      </c>
      <c r="S26" s="4">
        <v>14.98</v>
      </c>
      <c r="T26" s="4">
        <v>12.08</v>
      </c>
      <c r="U26" s="4">
        <v>12.87</v>
      </c>
      <c r="V26" s="17">
        <f t="shared" si="0"/>
        <v>13.31</v>
      </c>
      <c r="W26" s="4">
        <v>10.15</v>
      </c>
      <c r="X26" s="4">
        <v>8.3800000000000008</v>
      </c>
      <c r="Y26" s="4">
        <v>8.9</v>
      </c>
      <c r="Z26" s="17">
        <f t="shared" si="1"/>
        <v>9.1433333333333326</v>
      </c>
      <c r="AA26" s="4">
        <v>6.11</v>
      </c>
      <c r="AB26" s="4">
        <v>6.04</v>
      </c>
      <c r="AC26" s="4">
        <v>6.08</v>
      </c>
      <c r="AD26" s="17">
        <f t="shared" si="2"/>
        <v>6.0766666666666671</v>
      </c>
      <c r="AE26" s="8">
        <f t="shared" si="3"/>
        <v>36.149539618999917</v>
      </c>
      <c r="AF26" s="9">
        <f t="shared" si="4"/>
        <v>30.768833135687736</v>
      </c>
      <c r="AG26" s="9">
        <f t="shared" si="5"/>
        <v>31.993706611265132</v>
      </c>
      <c r="AH26" s="9">
        <f t="shared" si="6"/>
        <v>18.22903749863416</v>
      </c>
      <c r="AI26" s="9">
        <f t="shared" si="7"/>
        <v>12.66869396321516</v>
      </c>
      <c r="AJ26" s="9">
        <f t="shared" si="8"/>
        <v>14.288456537737797</v>
      </c>
      <c r="AK26" s="9">
        <f t="shared" si="9"/>
        <v>20.956514987211662</v>
      </c>
      <c r="AL26" s="9">
        <f t="shared" si="10"/>
        <v>17.579946396621899</v>
      </c>
      <c r="AM26" s="9">
        <f t="shared" si="11"/>
        <v>18.606126625209008</v>
      </c>
      <c r="AN26" s="9">
        <f t="shared" si="12"/>
        <v>32.970693121984262</v>
      </c>
      <c r="AO26" s="9">
        <f t="shared" si="13"/>
        <v>15.062062666529039</v>
      </c>
      <c r="AP26" s="9">
        <f t="shared" si="14"/>
        <v>19.047529336347523</v>
      </c>
      <c r="AQ26" s="9">
        <f t="shared" si="15"/>
        <v>40.48563971079443</v>
      </c>
      <c r="AR26" s="9">
        <f t="shared" si="16"/>
        <v>33.274868884270596</v>
      </c>
      <c r="AS26" s="9">
        <f t="shared" si="17"/>
        <v>35.039367188328789</v>
      </c>
      <c r="AT26" s="9">
        <f t="shared" si="18"/>
        <v>36.266625261131274</v>
      </c>
      <c r="AU26" s="9">
        <f t="shared" si="19"/>
        <v>26.760324283343543</v>
      </c>
      <c r="AV26" s="9">
        <f t="shared" si="20"/>
        <v>22.378820592488463</v>
      </c>
      <c r="AW26" s="9">
        <f t="shared" si="21"/>
        <v>24.065639107692345</v>
      </c>
      <c r="AX26" s="9">
        <f t="shared" si="22"/>
        <v>24.401594661174784</v>
      </c>
      <c r="AY26" s="11">
        <v>5.18</v>
      </c>
      <c r="AZ26" s="4">
        <v>10.9</v>
      </c>
      <c r="BA26" s="4">
        <v>3.66</v>
      </c>
      <c r="BB26" s="4"/>
      <c r="BC26" s="4"/>
      <c r="BD26" s="8" t="s">
        <v>19</v>
      </c>
      <c r="BE26" s="4">
        <v>5</v>
      </c>
      <c r="BF26" s="8">
        <v>2</v>
      </c>
      <c r="BG26" s="4">
        <v>2</v>
      </c>
      <c r="BH26" s="22"/>
    </row>
    <row r="27" spans="1:60" ht="13.2" x14ac:dyDescent="0.25">
      <c r="A27" s="20">
        <v>726</v>
      </c>
      <c r="D27" s="4">
        <v>4</v>
      </c>
      <c r="E27" s="4">
        <v>2</v>
      </c>
      <c r="F27" s="8" t="s">
        <v>17</v>
      </c>
      <c r="G27" s="8" t="s">
        <v>18</v>
      </c>
      <c r="H27" s="4">
        <v>38.148200000000003</v>
      </c>
      <c r="I27" s="4">
        <v>66.81</v>
      </c>
      <c r="J27" s="4">
        <v>34.53</v>
      </c>
      <c r="K27" s="4">
        <v>43.27</v>
      </c>
      <c r="L27" s="4">
        <v>2</v>
      </c>
      <c r="M27" s="4">
        <v>6</v>
      </c>
      <c r="N27" s="4" t="s">
        <v>19</v>
      </c>
      <c r="O27" s="4" t="s">
        <v>30</v>
      </c>
      <c r="P27" s="4">
        <v>4</v>
      </c>
      <c r="Q27" s="4" t="s">
        <v>19</v>
      </c>
      <c r="R27" s="4" t="s">
        <v>20</v>
      </c>
      <c r="S27" s="4">
        <v>13.08</v>
      </c>
      <c r="T27" s="4">
        <v>13.28</v>
      </c>
      <c r="U27" s="4">
        <v>13.23</v>
      </c>
      <c r="V27" s="17">
        <f t="shared" si="0"/>
        <v>13.196666666666667</v>
      </c>
      <c r="W27" s="4">
        <v>8.73</v>
      </c>
      <c r="X27" s="4">
        <v>9.01</v>
      </c>
      <c r="Y27" s="4">
        <v>8.9499999999999993</v>
      </c>
      <c r="Z27" s="17">
        <f t="shared" si="1"/>
        <v>8.8966666666666665</v>
      </c>
      <c r="AA27" s="4">
        <v>6.11</v>
      </c>
      <c r="AB27" s="4">
        <v>6.13</v>
      </c>
      <c r="AC27" s="4">
        <v>6.13</v>
      </c>
      <c r="AD27" s="17">
        <f t="shared" si="2"/>
        <v>6.123333333333334</v>
      </c>
      <c r="AE27" s="8">
        <f t="shared" si="3"/>
        <v>34.897177517034365</v>
      </c>
      <c r="AF27" s="9">
        <f t="shared" si="4"/>
        <v>33.937691565803839</v>
      </c>
      <c r="AG27" s="9">
        <f t="shared" si="5"/>
        <v>34.091496975580476</v>
      </c>
      <c r="AH27" s="9">
        <f t="shared" si="6"/>
        <v>13.604055021114824</v>
      </c>
      <c r="AI27" s="9">
        <f t="shared" si="7"/>
        <v>14.469842882884681</v>
      </c>
      <c r="AJ27" s="9">
        <f t="shared" si="8"/>
        <v>14.269620010276512</v>
      </c>
      <c r="AK27" s="9">
        <f t="shared" si="9"/>
        <v>18.274025150250445</v>
      </c>
      <c r="AL27" s="9">
        <f t="shared" si="10"/>
        <v>18.819327965944431</v>
      </c>
      <c r="AM27" s="9">
        <f t="shared" si="11"/>
        <v>18.703198699831688</v>
      </c>
      <c r="AN27" s="9">
        <f t="shared" si="12"/>
        <v>34.308788686139557</v>
      </c>
      <c r="AO27" s="9">
        <f t="shared" si="13"/>
        <v>14.11450597142534</v>
      </c>
      <c r="AP27" s="9">
        <f t="shared" si="14"/>
        <v>18.598850605342189</v>
      </c>
      <c r="AQ27" s="9">
        <f t="shared" si="15"/>
        <v>37.455083922919307</v>
      </c>
      <c r="AR27" s="9">
        <f t="shared" si="16"/>
        <v>36.893675093042731</v>
      </c>
      <c r="AS27" s="9">
        <f t="shared" si="17"/>
        <v>36.957437969557581</v>
      </c>
      <c r="AT27" s="9">
        <f t="shared" si="18"/>
        <v>37.102065661839873</v>
      </c>
      <c r="AU27" s="9">
        <f t="shared" si="19"/>
        <v>21.297454622405329</v>
      </c>
      <c r="AV27" s="9">
        <f t="shared" si="20"/>
        <v>23.091701548458627</v>
      </c>
      <c r="AW27" s="9">
        <f t="shared" si="21"/>
        <v>22.71264021797942</v>
      </c>
      <c r="AX27" s="9">
        <f t="shared" si="22"/>
        <v>22.367265462947795</v>
      </c>
      <c r="AY27" s="11">
        <v>4.32</v>
      </c>
      <c r="AZ27" s="4">
        <v>11.4</v>
      </c>
      <c r="BA27" s="4">
        <v>3.5</v>
      </c>
      <c r="BB27" s="4"/>
      <c r="BC27" s="4"/>
      <c r="BD27" s="8" t="s">
        <v>19</v>
      </c>
      <c r="BE27" s="4">
        <v>6</v>
      </c>
      <c r="BF27" s="8">
        <v>2</v>
      </c>
      <c r="BG27" s="4">
        <v>2</v>
      </c>
      <c r="BH27" s="22"/>
    </row>
    <row r="28" spans="1:60" ht="13.2" x14ac:dyDescent="0.25">
      <c r="A28" s="20">
        <v>726</v>
      </c>
      <c r="D28" s="4">
        <v>4</v>
      </c>
      <c r="E28" s="4">
        <v>3</v>
      </c>
      <c r="F28" s="8" t="s">
        <v>17</v>
      </c>
      <c r="G28" s="8" t="s">
        <v>18</v>
      </c>
      <c r="H28" s="4">
        <v>38.8504</v>
      </c>
      <c r="I28" s="4">
        <v>72.69</v>
      </c>
      <c r="J28" s="4">
        <v>34.24</v>
      </c>
      <c r="K28" s="4">
        <v>45.24</v>
      </c>
      <c r="L28" s="4">
        <v>1</v>
      </c>
      <c r="M28" s="4">
        <v>5</v>
      </c>
      <c r="N28" s="4" t="s">
        <v>19</v>
      </c>
      <c r="O28" s="4" t="s">
        <v>28</v>
      </c>
      <c r="P28" s="4">
        <v>4</v>
      </c>
      <c r="Q28" s="4" t="s">
        <v>19</v>
      </c>
      <c r="R28" s="4" t="s">
        <v>20</v>
      </c>
      <c r="S28" s="4">
        <v>14.75</v>
      </c>
      <c r="T28" s="4">
        <v>15.01</v>
      </c>
      <c r="U28" s="4">
        <v>15.02</v>
      </c>
      <c r="V28" s="17">
        <f t="shared" si="0"/>
        <v>14.926666666666668</v>
      </c>
      <c r="W28" s="4">
        <v>9.9</v>
      </c>
      <c r="X28" s="4">
        <v>9.98</v>
      </c>
      <c r="Y28" s="4">
        <v>10.08</v>
      </c>
      <c r="Z28" s="17">
        <f t="shared" si="1"/>
        <v>9.9866666666666664</v>
      </c>
      <c r="AA28" s="4">
        <v>5.91</v>
      </c>
      <c r="AB28" s="4">
        <v>5.94</v>
      </c>
      <c r="AC28" s="4">
        <v>6.12</v>
      </c>
      <c r="AD28" s="17">
        <f t="shared" si="2"/>
        <v>5.9900000000000011</v>
      </c>
      <c r="AE28" s="8">
        <f t="shared" si="3"/>
        <v>36.617320553632368</v>
      </c>
      <c r="AF28" s="9">
        <f t="shared" si="4"/>
        <v>37.684780768783341</v>
      </c>
      <c r="AG28" s="9">
        <f t="shared" si="5"/>
        <v>36.960551286954633</v>
      </c>
      <c r="AH28" s="9">
        <f t="shared" si="6"/>
        <v>18.190135712822521</v>
      </c>
      <c r="AI28" s="9">
        <f t="shared" si="7"/>
        <v>18.330475325428342</v>
      </c>
      <c r="AJ28" s="9">
        <f t="shared" si="8"/>
        <v>17.971729778631978</v>
      </c>
      <c r="AK28" s="9">
        <f t="shared" si="9"/>
        <v>20.498547916321272</v>
      </c>
      <c r="AL28" s="9">
        <f t="shared" si="10"/>
        <v>20.64572007752065</v>
      </c>
      <c r="AM28" s="9">
        <f t="shared" si="11"/>
        <v>20.828858250019103</v>
      </c>
      <c r="AN28" s="9">
        <f t="shared" si="12"/>
        <v>37.087550869790114</v>
      </c>
      <c r="AO28" s="9">
        <f t="shared" si="13"/>
        <v>18.164113605627616</v>
      </c>
      <c r="AP28" s="9">
        <f t="shared" si="14"/>
        <v>20.657708747953674</v>
      </c>
      <c r="AQ28" s="9">
        <f t="shared" si="15"/>
        <v>40.886540594410391</v>
      </c>
      <c r="AR28" s="9">
        <f t="shared" si="16"/>
        <v>41.906431812400825</v>
      </c>
      <c r="AS28" s="9">
        <f t="shared" si="17"/>
        <v>41.098241114088708</v>
      </c>
      <c r="AT28" s="9">
        <f t="shared" si="18"/>
        <v>41.297071173633306</v>
      </c>
      <c r="AU28" s="9">
        <f t="shared" si="19"/>
        <v>26.416493153669244</v>
      </c>
      <c r="AV28" s="9">
        <f t="shared" si="20"/>
        <v>25.93902356530884</v>
      </c>
      <c r="AW28" s="9">
        <f t="shared" si="21"/>
        <v>25.930913753162631</v>
      </c>
      <c r="AX28" s="9">
        <f t="shared" si="22"/>
        <v>26.095476824046901</v>
      </c>
      <c r="AY28" s="11">
        <v>5</v>
      </c>
      <c r="AZ28" s="4">
        <v>10.4</v>
      </c>
      <c r="BA28" s="4">
        <v>3.58</v>
      </c>
      <c r="BB28" s="4"/>
      <c r="BC28" s="4"/>
      <c r="BD28" s="8" t="s">
        <v>19</v>
      </c>
      <c r="BE28" s="4">
        <v>3</v>
      </c>
      <c r="BF28" s="8">
        <v>2</v>
      </c>
      <c r="BG28" s="4">
        <v>2</v>
      </c>
      <c r="BH28" s="22"/>
    </row>
    <row r="29" spans="1:60" ht="13.2" x14ac:dyDescent="0.25">
      <c r="A29" s="20">
        <v>726</v>
      </c>
      <c r="D29" s="4">
        <v>4</v>
      </c>
      <c r="E29" s="4">
        <v>4</v>
      </c>
      <c r="F29" s="8" t="s">
        <v>17</v>
      </c>
      <c r="G29" s="8" t="s">
        <v>18</v>
      </c>
      <c r="H29" s="4">
        <v>39.365400000000001</v>
      </c>
      <c r="I29" s="4">
        <v>71.38</v>
      </c>
      <c r="J29" s="4">
        <v>34.47</v>
      </c>
      <c r="K29" s="4">
        <v>45.48</v>
      </c>
      <c r="L29" s="4">
        <v>4</v>
      </c>
      <c r="M29" s="4">
        <v>6</v>
      </c>
      <c r="N29" s="4" t="s">
        <v>19</v>
      </c>
      <c r="O29" s="4" t="s">
        <v>28</v>
      </c>
      <c r="P29" s="4">
        <v>4</v>
      </c>
      <c r="Q29" s="4" t="s">
        <v>19</v>
      </c>
      <c r="R29" s="4" t="s">
        <v>20</v>
      </c>
      <c r="S29" s="4">
        <v>11.27</v>
      </c>
      <c r="T29" s="4">
        <v>10.73</v>
      </c>
      <c r="U29" s="4">
        <v>9.94</v>
      </c>
      <c r="V29" s="17">
        <f t="shared" si="0"/>
        <v>10.646666666666667</v>
      </c>
      <c r="W29" s="4">
        <v>8.2799999999999994</v>
      </c>
      <c r="X29" s="4">
        <v>7.95</v>
      </c>
      <c r="Y29" s="4">
        <v>7.63</v>
      </c>
      <c r="Z29" s="17">
        <f t="shared" si="1"/>
        <v>7.9533333333333331</v>
      </c>
      <c r="AA29" s="4">
        <v>5.82</v>
      </c>
      <c r="AB29" s="4">
        <v>5.75</v>
      </c>
      <c r="AC29" s="4">
        <v>5.88</v>
      </c>
      <c r="AD29" s="17">
        <f t="shared" si="2"/>
        <v>5.8166666666666664</v>
      </c>
      <c r="AE29" s="8">
        <f t="shared" si="3"/>
        <v>25.648710743721491</v>
      </c>
      <c r="AF29" s="9">
        <f t="shared" si="4"/>
        <v>24.433735742277086</v>
      </c>
      <c r="AG29" s="9">
        <f t="shared" si="5"/>
        <v>21.094501892605617</v>
      </c>
      <c r="AH29" s="9">
        <f t="shared" si="6"/>
        <v>13.153537633143536</v>
      </c>
      <c r="AI29" s="9">
        <f t="shared" si="7"/>
        <v>12.262844643243136</v>
      </c>
      <c r="AJ29" s="9">
        <f t="shared" si="8"/>
        <v>10.620207781582897</v>
      </c>
      <c r="AK29" s="9">
        <f t="shared" si="9"/>
        <v>17.378987402256527</v>
      </c>
      <c r="AL29" s="9">
        <f t="shared" si="10"/>
        <v>16.707063457302311</v>
      </c>
      <c r="AM29" s="9">
        <f t="shared" si="11"/>
        <v>16.042047375284866</v>
      </c>
      <c r="AN29" s="9">
        <f t="shared" si="12"/>
        <v>23.725649459534733</v>
      </c>
      <c r="AO29" s="9">
        <f t="shared" si="13"/>
        <v>12.012196685989856</v>
      </c>
      <c r="AP29" s="9">
        <f t="shared" si="14"/>
        <v>16.709366078281235</v>
      </c>
      <c r="AQ29" s="9">
        <f t="shared" si="15"/>
        <v>28.82484891689144</v>
      </c>
      <c r="AR29" s="9">
        <f t="shared" si="16"/>
        <v>27.338339398503077</v>
      </c>
      <c r="AS29" s="9">
        <f t="shared" si="17"/>
        <v>23.617087530454214</v>
      </c>
      <c r="AT29" s="9">
        <f t="shared" si="18"/>
        <v>26.593425281949578</v>
      </c>
      <c r="AU29" s="9">
        <f t="shared" si="19"/>
        <v>27.1503054090817</v>
      </c>
      <c r="AV29" s="9">
        <f t="shared" si="20"/>
        <v>26.651236663339201</v>
      </c>
      <c r="AW29" s="9">
        <f t="shared" si="21"/>
        <v>26.72336098654872</v>
      </c>
      <c r="AX29" s="9">
        <f t="shared" si="22"/>
        <v>26.841634352989871</v>
      </c>
      <c r="AY29" s="11">
        <v>6.03</v>
      </c>
      <c r="AZ29" s="4">
        <v>13.2</v>
      </c>
      <c r="BA29" s="4">
        <v>3.34</v>
      </c>
      <c r="BB29" s="4"/>
      <c r="BC29" s="4"/>
      <c r="BD29" s="8" t="s">
        <v>19</v>
      </c>
      <c r="BE29" s="4">
        <v>4</v>
      </c>
      <c r="BF29" s="8">
        <v>2</v>
      </c>
      <c r="BG29" s="4">
        <v>2</v>
      </c>
      <c r="BH29" s="22"/>
    </row>
    <row r="30" spans="1:60" ht="13.2" x14ac:dyDescent="0.25">
      <c r="A30" s="20">
        <v>726</v>
      </c>
      <c r="D30" s="4">
        <v>4</v>
      </c>
      <c r="E30" s="4">
        <v>5</v>
      </c>
      <c r="F30" s="8" t="s">
        <v>17</v>
      </c>
      <c r="G30" s="8" t="s">
        <v>18</v>
      </c>
      <c r="H30" s="4">
        <v>24.382100000000001</v>
      </c>
      <c r="I30" s="4">
        <v>61.08</v>
      </c>
      <c r="J30" s="4">
        <v>29.64</v>
      </c>
      <c r="K30" s="4">
        <v>36.03</v>
      </c>
      <c r="L30" s="4">
        <v>1</v>
      </c>
      <c r="M30" s="4">
        <v>5</v>
      </c>
      <c r="N30" s="4" t="s">
        <v>19</v>
      </c>
      <c r="O30" s="4" t="s">
        <v>27</v>
      </c>
      <c r="P30" s="4">
        <v>4</v>
      </c>
      <c r="Q30" s="4" t="s">
        <v>19</v>
      </c>
      <c r="R30" s="4" t="s">
        <v>20</v>
      </c>
      <c r="S30" s="4">
        <v>13.6</v>
      </c>
      <c r="T30" s="4">
        <v>13.22</v>
      </c>
      <c r="U30" s="4">
        <v>13.73</v>
      </c>
      <c r="V30" s="17">
        <f t="shared" si="0"/>
        <v>13.516666666666666</v>
      </c>
      <c r="W30" s="4">
        <v>9.1300000000000008</v>
      </c>
      <c r="X30" s="4">
        <v>8.84</v>
      </c>
      <c r="Y30" s="4">
        <v>8.94</v>
      </c>
      <c r="Z30" s="17">
        <f t="shared" si="1"/>
        <v>8.9699999999999989</v>
      </c>
      <c r="AA30" s="4">
        <v>5.6</v>
      </c>
      <c r="AB30" s="4">
        <v>5.61</v>
      </c>
      <c r="AC30" s="4">
        <v>5.73</v>
      </c>
      <c r="AD30" s="17">
        <f t="shared" si="2"/>
        <v>5.6466666666666674</v>
      </c>
      <c r="AE30" s="8">
        <f t="shared" si="3"/>
        <v>35.145475356166358</v>
      </c>
      <c r="AF30" s="9">
        <f t="shared" si="4"/>
        <v>34.944133580504825</v>
      </c>
      <c r="AG30" s="9">
        <f t="shared" si="5"/>
        <v>37.61368953009017</v>
      </c>
      <c r="AH30" s="9">
        <f t="shared" si="6"/>
        <v>16.882530283312569</v>
      </c>
      <c r="AI30" s="9">
        <f t="shared" si="7"/>
        <v>15.876159638325438</v>
      </c>
      <c r="AJ30" s="9">
        <f t="shared" si="8"/>
        <v>15.74783379412295</v>
      </c>
      <c r="AK30" s="9">
        <f t="shared" si="9"/>
        <v>19.050432236992457</v>
      </c>
      <c r="AL30" s="9">
        <f t="shared" si="10"/>
        <v>18.489279493778938</v>
      </c>
      <c r="AM30" s="9">
        <f t="shared" si="11"/>
        <v>18.683806019524447</v>
      </c>
      <c r="AN30" s="9">
        <f t="shared" si="12"/>
        <v>35.901099488920451</v>
      </c>
      <c r="AO30" s="9">
        <f t="shared" si="13"/>
        <v>16.168841238586989</v>
      </c>
      <c r="AP30" s="9">
        <f t="shared" si="14"/>
        <v>18.741172583431947</v>
      </c>
      <c r="AQ30" s="9">
        <f t="shared" si="15"/>
        <v>38.990053433893401</v>
      </c>
      <c r="AR30" s="9">
        <f t="shared" si="16"/>
        <v>38.381570011579242</v>
      </c>
      <c r="AS30" s="9">
        <f t="shared" si="17"/>
        <v>40.777247446012538</v>
      </c>
      <c r="AT30" s="9">
        <f t="shared" si="18"/>
        <v>39.382956963828391</v>
      </c>
      <c r="AU30" s="9">
        <f t="shared" si="19"/>
        <v>25.657833401708668</v>
      </c>
      <c r="AV30" s="9">
        <f t="shared" si="20"/>
        <v>24.433711472243637</v>
      </c>
      <c r="AW30" s="9">
        <f t="shared" si="21"/>
        <v>22.717741305487657</v>
      </c>
      <c r="AX30" s="9">
        <f t="shared" si="22"/>
        <v>24.269762059813321</v>
      </c>
      <c r="AY30" s="11">
        <v>5.29</v>
      </c>
      <c r="AZ30" s="4">
        <v>10.199999999999999</v>
      </c>
      <c r="BA30" s="4">
        <v>3.75</v>
      </c>
      <c r="BB30" s="4"/>
      <c r="BC30" s="4"/>
      <c r="BD30" s="8" t="s">
        <v>19</v>
      </c>
      <c r="BE30" s="4">
        <v>4</v>
      </c>
      <c r="BF30" s="4">
        <v>2</v>
      </c>
      <c r="BG30" s="4">
        <v>2</v>
      </c>
      <c r="BH30" s="22"/>
    </row>
    <row r="31" spans="1:60" ht="13.2" x14ac:dyDescent="0.25">
      <c r="A31" s="20">
        <v>726</v>
      </c>
      <c r="D31" s="4">
        <v>4</v>
      </c>
      <c r="E31" s="4">
        <v>6</v>
      </c>
      <c r="F31" s="8" t="s">
        <v>17</v>
      </c>
      <c r="G31" s="8" t="s">
        <v>18</v>
      </c>
      <c r="H31" s="4">
        <v>46.820300000000003</v>
      </c>
      <c r="I31" s="4">
        <v>75.55</v>
      </c>
      <c r="J31" s="4">
        <v>36.54</v>
      </c>
      <c r="K31" s="4">
        <v>44.94</v>
      </c>
      <c r="L31" s="4">
        <v>2</v>
      </c>
      <c r="M31" s="4">
        <v>5</v>
      </c>
      <c r="N31" s="4" t="s">
        <v>19</v>
      </c>
      <c r="O31" s="4" t="s">
        <v>28</v>
      </c>
      <c r="P31" s="4">
        <v>4</v>
      </c>
      <c r="Q31" s="4" t="s">
        <v>19</v>
      </c>
      <c r="R31" s="4" t="s">
        <v>20</v>
      </c>
      <c r="S31" s="4">
        <v>14.58</v>
      </c>
      <c r="T31" s="4">
        <v>11.63</v>
      </c>
      <c r="U31" s="4">
        <v>15.35</v>
      </c>
      <c r="V31" s="17">
        <f t="shared" si="0"/>
        <v>13.853333333333333</v>
      </c>
      <c r="W31" s="4">
        <v>9.93</v>
      </c>
      <c r="X31" s="4">
        <v>8.16</v>
      </c>
      <c r="Y31" s="4">
        <v>10.62</v>
      </c>
      <c r="Z31" s="17">
        <f t="shared" si="1"/>
        <v>9.57</v>
      </c>
      <c r="AA31" s="4">
        <v>6.55</v>
      </c>
      <c r="AB31" s="4">
        <v>6.33</v>
      </c>
      <c r="AC31" s="4">
        <v>6.67</v>
      </c>
      <c r="AD31" s="17">
        <f t="shared" si="2"/>
        <v>6.5166666666666657</v>
      </c>
      <c r="AE31" s="8">
        <f t="shared" si="3"/>
        <v>35.258283735126987</v>
      </c>
      <c r="AF31" s="9">
        <f t="shared" si="4"/>
        <v>29.381369440565546</v>
      </c>
      <c r="AG31" s="9">
        <f t="shared" si="5"/>
        <v>34.902137273433858</v>
      </c>
      <c r="AH31" s="9">
        <f t="shared" si="6"/>
        <v>15.925279537663945</v>
      </c>
      <c r="AI31" s="9">
        <f t="shared" si="7"/>
        <v>10.83062519416359</v>
      </c>
      <c r="AJ31" s="9">
        <f t="shared" si="8"/>
        <v>17.648678734010986</v>
      </c>
      <c r="AK31" s="9">
        <f t="shared" si="9"/>
        <v>20.553806915285854</v>
      </c>
      <c r="AL31" s="9">
        <f t="shared" si="10"/>
        <v>17.136227908438826</v>
      </c>
      <c r="AM31" s="9">
        <f t="shared" si="11"/>
        <v>21.802476109376748</v>
      </c>
      <c r="AN31" s="9">
        <f t="shared" si="12"/>
        <v>33.180596816375463</v>
      </c>
      <c r="AO31" s="9">
        <f t="shared" si="13"/>
        <v>14.801527821946173</v>
      </c>
      <c r="AP31" s="9">
        <f t="shared" si="14"/>
        <v>19.830836977700475</v>
      </c>
      <c r="AQ31" s="9">
        <f t="shared" si="15"/>
        <v>38.687996850437457</v>
      </c>
      <c r="AR31" s="9">
        <f t="shared" si="16"/>
        <v>31.314011437365384</v>
      </c>
      <c r="AS31" s="9">
        <f t="shared" si="17"/>
        <v>39.110549054058971</v>
      </c>
      <c r="AT31" s="9">
        <f t="shared" si="18"/>
        <v>36.37085244728727</v>
      </c>
      <c r="AU31" s="9">
        <f t="shared" si="19"/>
        <v>24.307496576372134</v>
      </c>
      <c r="AV31" s="9">
        <f t="shared" si="20"/>
        <v>20.2350065596146</v>
      </c>
      <c r="AW31" s="9">
        <f t="shared" si="21"/>
        <v>26.823982340878413</v>
      </c>
      <c r="AX31" s="9">
        <f t="shared" si="22"/>
        <v>23.788828492288385</v>
      </c>
      <c r="AY31" s="11">
        <v>5.59</v>
      </c>
      <c r="AZ31" s="4">
        <v>12.2</v>
      </c>
      <c r="BA31" s="4">
        <v>3.41</v>
      </c>
      <c r="BB31" s="4"/>
      <c r="BC31" s="4"/>
      <c r="BD31" s="8" t="s">
        <v>19</v>
      </c>
      <c r="BE31" s="4">
        <v>4</v>
      </c>
      <c r="BF31" s="4">
        <v>2</v>
      </c>
      <c r="BG31" s="4">
        <v>2</v>
      </c>
      <c r="BH31" s="22"/>
    </row>
    <row r="32" spans="1:60" ht="13.2" x14ac:dyDescent="0.25">
      <c r="A32" s="20" t="s">
        <v>21</v>
      </c>
      <c r="B32" s="4"/>
      <c r="C32" s="4"/>
      <c r="D32" s="4">
        <v>15</v>
      </c>
      <c r="E32" s="4">
        <v>1</v>
      </c>
      <c r="F32" s="8" t="s">
        <v>17</v>
      </c>
      <c r="G32" s="8" t="s">
        <v>18</v>
      </c>
      <c r="H32" s="4">
        <v>38.256500000000003</v>
      </c>
      <c r="I32" s="4">
        <v>63.48</v>
      </c>
      <c r="J32" s="4">
        <v>36.31</v>
      </c>
      <c r="K32" s="4">
        <v>36.82</v>
      </c>
      <c r="L32" s="4">
        <v>5</v>
      </c>
      <c r="M32" s="4">
        <v>5</v>
      </c>
      <c r="N32" s="4" t="s">
        <v>19</v>
      </c>
      <c r="O32" s="4" t="s">
        <v>28</v>
      </c>
      <c r="P32" s="4">
        <v>4</v>
      </c>
      <c r="Q32" s="4" t="s">
        <v>19</v>
      </c>
      <c r="R32" s="4" t="s">
        <v>19</v>
      </c>
      <c r="S32" s="4">
        <v>14.71</v>
      </c>
      <c r="T32" s="4">
        <v>15.83</v>
      </c>
      <c r="U32" s="4">
        <v>16.64</v>
      </c>
      <c r="V32" s="17">
        <f t="shared" si="0"/>
        <v>15.726666666666667</v>
      </c>
      <c r="W32" s="4">
        <v>9.6999999999999993</v>
      </c>
      <c r="X32" s="4">
        <v>10.85</v>
      </c>
      <c r="Y32" s="4">
        <v>11.44</v>
      </c>
      <c r="Z32" s="17">
        <f t="shared" si="1"/>
        <v>10.663333333333332</v>
      </c>
      <c r="AA32" s="4">
        <v>5.91</v>
      </c>
      <c r="AB32" s="4">
        <v>6.91</v>
      </c>
      <c r="AC32" s="4">
        <v>6.82</v>
      </c>
      <c r="AD32" s="17">
        <f t="shared" si="2"/>
        <v>6.5466666666666669</v>
      </c>
      <c r="AE32" s="8">
        <f t="shared" si="3"/>
        <v>37.951386571866749</v>
      </c>
      <c r="AF32" s="9">
        <f t="shared" si="4"/>
        <v>36.216666203365499</v>
      </c>
      <c r="AG32" s="9">
        <f t="shared" si="5"/>
        <v>36.874121824241683</v>
      </c>
      <c r="AH32" s="9">
        <f t="shared" si="6"/>
        <v>17.551250832203181</v>
      </c>
      <c r="AI32" s="9">
        <f t="shared" si="7"/>
        <v>17.503152111935066</v>
      </c>
      <c r="AJ32" s="9">
        <f t="shared" si="8"/>
        <v>19.586682360482921</v>
      </c>
      <c r="AK32" s="9">
        <f t="shared" si="9"/>
        <v>20.127994685562058</v>
      </c>
      <c r="AL32" s="9">
        <f t="shared" si="10"/>
        <v>22.209632293441402</v>
      </c>
      <c r="AM32" s="9">
        <f t="shared" si="11"/>
        <v>23.234760098667614</v>
      </c>
      <c r="AN32" s="9">
        <f t="shared" si="12"/>
        <v>37.014058199824639</v>
      </c>
      <c r="AO32" s="9">
        <f t="shared" si="13"/>
        <v>18.213695101540392</v>
      </c>
      <c r="AP32" s="9">
        <f t="shared" si="14"/>
        <v>21.857462359223689</v>
      </c>
      <c r="AQ32" s="9">
        <f t="shared" si="15"/>
        <v>41.813325011318824</v>
      </c>
      <c r="AR32" s="9">
        <f t="shared" si="16"/>
        <v>40.224460776243276</v>
      </c>
      <c r="AS32" s="9">
        <f t="shared" si="17"/>
        <v>41.753311080673228</v>
      </c>
      <c r="AT32" s="9">
        <f t="shared" si="18"/>
        <v>41.263698956078443</v>
      </c>
      <c r="AU32" s="9">
        <f t="shared" si="19"/>
        <v>24.818967487277391</v>
      </c>
      <c r="AV32" s="9">
        <f t="shared" si="20"/>
        <v>25.794013180650733</v>
      </c>
      <c r="AW32" s="9">
        <f t="shared" si="21"/>
        <v>27.976208620574972</v>
      </c>
      <c r="AX32" s="9">
        <f t="shared" si="22"/>
        <v>26.196396429501032</v>
      </c>
      <c r="AY32" s="11">
        <v>5.15</v>
      </c>
      <c r="AZ32" s="4">
        <v>12.2</v>
      </c>
      <c r="BA32" s="4">
        <v>3.88</v>
      </c>
      <c r="BB32" s="4"/>
      <c r="BC32" s="4"/>
      <c r="BD32" s="8" t="s">
        <v>19</v>
      </c>
      <c r="BE32" s="4">
        <v>4</v>
      </c>
      <c r="BF32" s="4">
        <v>2</v>
      </c>
      <c r="BG32" s="4">
        <v>2</v>
      </c>
      <c r="BH32" s="22"/>
    </row>
    <row r="33" spans="1:60" ht="13.2" x14ac:dyDescent="0.25">
      <c r="A33" s="20" t="s">
        <v>21</v>
      </c>
      <c r="B33" s="4"/>
      <c r="C33" s="4"/>
      <c r="D33" s="4">
        <v>15</v>
      </c>
      <c r="E33" s="4">
        <v>2</v>
      </c>
      <c r="F33" s="8" t="s">
        <v>17</v>
      </c>
      <c r="G33" s="8" t="s">
        <v>18</v>
      </c>
      <c r="H33" s="4">
        <v>34.8324</v>
      </c>
      <c r="I33" s="4">
        <v>62.21</v>
      </c>
      <c r="J33" s="4">
        <v>33.99</v>
      </c>
      <c r="K33" s="4">
        <v>40.270000000000003</v>
      </c>
      <c r="L33" s="4">
        <v>5</v>
      </c>
      <c r="M33" s="4">
        <v>6</v>
      </c>
      <c r="N33" s="4" t="s">
        <v>19</v>
      </c>
      <c r="O33" s="4" t="s">
        <v>28</v>
      </c>
      <c r="P33" s="4">
        <v>4</v>
      </c>
      <c r="Q33" s="4" t="s">
        <v>19</v>
      </c>
      <c r="R33" s="4" t="s">
        <v>20</v>
      </c>
      <c r="S33" s="4">
        <v>11.11</v>
      </c>
      <c r="T33" s="4">
        <v>9.2899999999999991</v>
      </c>
      <c r="U33" s="4">
        <v>10.02</v>
      </c>
      <c r="V33" s="17">
        <f t="shared" si="0"/>
        <v>10.139999999999999</v>
      </c>
      <c r="W33" s="4">
        <v>7.62</v>
      </c>
      <c r="X33" s="4">
        <v>6.93</v>
      </c>
      <c r="Y33" s="4">
        <v>7.14</v>
      </c>
      <c r="Z33" s="17">
        <f t="shared" si="1"/>
        <v>7.23</v>
      </c>
      <c r="AA33" s="4">
        <v>5.86</v>
      </c>
      <c r="AB33" s="4">
        <v>5.63</v>
      </c>
      <c r="AC33" s="4">
        <v>5.83</v>
      </c>
      <c r="AD33" s="17">
        <f t="shared" si="2"/>
        <v>5.7733333333333334</v>
      </c>
      <c r="AE33" s="8">
        <f t="shared" si="3"/>
        <v>30.294255160456029</v>
      </c>
      <c r="AF33" s="9">
        <f t="shared" si="4"/>
        <v>22.288855527838269</v>
      </c>
      <c r="AG33" s="9">
        <f t="shared" si="5"/>
        <v>26.242270114842452</v>
      </c>
      <c r="AH33" s="9">
        <f t="shared" si="6"/>
        <v>10.659950474982521</v>
      </c>
      <c r="AI33" s="9">
        <f t="shared" si="7"/>
        <v>8.9840429237460437</v>
      </c>
      <c r="AJ33" s="9">
        <f t="shared" si="8"/>
        <v>9.0069913145549414</v>
      </c>
      <c r="AK33" s="9">
        <f t="shared" si="9"/>
        <v>16.021043081074048</v>
      </c>
      <c r="AL33" s="9">
        <f t="shared" si="10"/>
        <v>14.536876068124585</v>
      </c>
      <c r="AM33" s="9">
        <f t="shared" si="11"/>
        <v>14.996102980858737</v>
      </c>
      <c r="AN33" s="9">
        <f t="shared" si="12"/>
        <v>26.275126934378918</v>
      </c>
      <c r="AO33" s="9">
        <f t="shared" si="13"/>
        <v>9.5503282377611693</v>
      </c>
      <c r="AP33" s="9">
        <f t="shared" si="14"/>
        <v>15.184674043352457</v>
      </c>
      <c r="AQ33" s="9">
        <f t="shared" si="15"/>
        <v>32.115050052209114</v>
      </c>
      <c r="AR33" s="9">
        <f t="shared" si="16"/>
        <v>24.031356765620995</v>
      </c>
      <c r="AS33" s="9">
        <f t="shared" si="17"/>
        <v>27.744956898882027</v>
      </c>
      <c r="AT33" s="9">
        <f t="shared" si="18"/>
        <v>27.963787905570712</v>
      </c>
      <c r="AU33" s="9">
        <f t="shared" si="19"/>
        <v>19.385964182715252</v>
      </c>
      <c r="AV33" s="9">
        <f t="shared" si="20"/>
        <v>21.953048497368187</v>
      </c>
      <c r="AW33" s="9">
        <f t="shared" si="21"/>
        <v>18.943478836215231</v>
      </c>
      <c r="AX33" s="9">
        <f t="shared" si="22"/>
        <v>20.094163838766224</v>
      </c>
      <c r="AY33" s="11">
        <v>6.57</v>
      </c>
      <c r="AZ33" s="4">
        <v>10.4</v>
      </c>
      <c r="BA33" s="4">
        <v>3.83</v>
      </c>
      <c r="BB33" s="4"/>
      <c r="BC33" s="4"/>
      <c r="BD33" s="8" t="s">
        <v>19</v>
      </c>
      <c r="BE33" s="4">
        <v>2</v>
      </c>
      <c r="BF33" s="4">
        <v>2</v>
      </c>
      <c r="BG33" s="4">
        <v>2</v>
      </c>
      <c r="BH33" s="22"/>
    </row>
    <row r="34" spans="1:60" ht="13.2" x14ac:dyDescent="0.25">
      <c r="A34" s="20" t="s">
        <v>21</v>
      </c>
      <c r="B34" s="4"/>
      <c r="C34" s="4"/>
      <c r="D34" s="4">
        <v>15</v>
      </c>
      <c r="E34" s="4">
        <v>3</v>
      </c>
      <c r="F34" s="8" t="s">
        <v>17</v>
      </c>
      <c r="G34" s="8" t="s">
        <v>18</v>
      </c>
      <c r="H34" s="4">
        <v>39.012300000000003</v>
      </c>
      <c r="I34" s="4">
        <v>63.87</v>
      </c>
      <c r="J34" s="4">
        <v>35.270000000000003</v>
      </c>
      <c r="K34" s="4">
        <v>38.26</v>
      </c>
      <c r="L34" s="4">
        <v>3</v>
      </c>
      <c r="M34" s="4">
        <v>6</v>
      </c>
      <c r="N34" s="4" t="s">
        <v>19</v>
      </c>
      <c r="O34" s="4" t="s">
        <v>28</v>
      </c>
      <c r="P34" s="4">
        <v>4</v>
      </c>
      <c r="Q34" s="4" t="s">
        <v>19</v>
      </c>
      <c r="R34" s="4" t="s">
        <v>20</v>
      </c>
      <c r="S34" s="4">
        <v>12.97</v>
      </c>
      <c r="T34" s="4">
        <v>12.05</v>
      </c>
      <c r="U34" s="4">
        <v>14.26</v>
      </c>
      <c r="V34" s="17">
        <f t="shared" si="0"/>
        <v>13.093333333333334</v>
      </c>
      <c r="W34" s="4">
        <v>8.94</v>
      </c>
      <c r="X34" s="4">
        <v>8.19</v>
      </c>
      <c r="Y34" s="4">
        <v>9.5500000000000007</v>
      </c>
      <c r="Z34" s="17">
        <f t="shared" si="1"/>
        <v>8.8933333333333326</v>
      </c>
      <c r="AA34" s="4">
        <v>6.19</v>
      </c>
      <c r="AB34" s="4">
        <v>5.89</v>
      </c>
      <c r="AC34" s="4">
        <v>6.34</v>
      </c>
      <c r="AD34" s="17">
        <f t="shared" si="2"/>
        <v>6.1400000000000006</v>
      </c>
      <c r="AE34" s="8">
        <f t="shared" si="3"/>
        <v>32.361319499741079</v>
      </c>
      <c r="AF34" s="9">
        <f t="shared" si="4"/>
        <v>32.201031129557855</v>
      </c>
      <c r="AG34" s="9">
        <f t="shared" si="5"/>
        <v>36.17471511984224</v>
      </c>
      <c r="AH34" s="9">
        <f t="shared" si="6"/>
        <v>14.013741301541444</v>
      </c>
      <c r="AI34" s="9">
        <f t="shared" si="7"/>
        <v>12.573720544007211</v>
      </c>
      <c r="AJ34" s="9">
        <f t="shared" si="8"/>
        <v>15.468788246380155</v>
      </c>
      <c r="AK34" s="9">
        <f t="shared" si="9"/>
        <v>18.683806019524447</v>
      </c>
      <c r="AL34" s="9">
        <f t="shared" si="10"/>
        <v>17.197084209309708</v>
      </c>
      <c r="AM34" s="9">
        <f t="shared" si="11"/>
        <v>19.847566165640863</v>
      </c>
      <c r="AN34" s="9">
        <f t="shared" si="12"/>
        <v>33.579021916380391</v>
      </c>
      <c r="AO34" s="9">
        <f t="shared" si="13"/>
        <v>14.018750030642936</v>
      </c>
      <c r="AP34" s="9">
        <f t="shared" si="14"/>
        <v>18.576152131491671</v>
      </c>
      <c r="AQ34" s="9">
        <f t="shared" si="15"/>
        <v>35.265279596663497</v>
      </c>
      <c r="AR34" s="9">
        <f t="shared" si="16"/>
        <v>34.568842244506008</v>
      </c>
      <c r="AS34" s="9">
        <f t="shared" si="17"/>
        <v>39.343276729488245</v>
      </c>
      <c r="AT34" s="9">
        <f t="shared" si="18"/>
        <v>36.392466190219245</v>
      </c>
      <c r="AU34" s="9">
        <f t="shared" si="19"/>
        <v>23.414534840651587</v>
      </c>
      <c r="AV34" s="9">
        <f t="shared" si="20"/>
        <v>21.329437706809717</v>
      </c>
      <c r="AW34" s="9">
        <f t="shared" si="21"/>
        <v>23.152194740077107</v>
      </c>
      <c r="AX34" s="9">
        <f t="shared" si="22"/>
        <v>22.632055762512806</v>
      </c>
      <c r="AY34" s="11">
        <v>4.4400000000000004</v>
      </c>
      <c r="AZ34" s="4">
        <v>12.4</v>
      </c>
      <c r="BA34" s="4">
        <v>3.48</v>
      </c>
      <c r="BB34" s="4"/>
      <c r="BC34" s="4"/>
      <c r="BD34" s="8" t="s">
        <v>19</v>
      </c>
      <c r="BE34" s="4">
        <v>4</v>
      </c>
      <c r="BF34" s="4">
        <v>2</v>
      </c>
      <c r="BG34" s="4">
        <v>2</v>
      </c>
      <c r="BH34" s="22"/>
    </row>
    <row r="35" spans="1:60" ht="13.2" x14ac:dyDescent="0.25">
      <c r="A35" s="20" t="s">
        <v>21</v>
      </c>
      <c r="B35" s="4"/>
      <c r="C35" s="4"/>
      <c r="D35" s="4">
        <v>15</v>
      </c>
      <c r="E35" s="4">
        <v>4</v>
      </c>
      <c r="F35" s="8" t="s">
        <v>17</v>
      </c>
      <c r="G35" s="8" t="s">
        <v>18</v>
      </c>
      <c r="H35" s="4">
        <v>22.905100000000001</v>
      </c>
      <c r="I35" s="4">
        <v>53.5</v>
      </c>
      <c r="J35" s="4">
        <v>31.15</v>
      </c>
      <c r="K35" s="4">
        <v>33.39</v>
      </c>
      <c r="L35" s="4">
        <v>4</v>
      </c>
      <c r="M35" s="4">
        <v>6</v>
      </c>
      <c r="N35" s="4" t="s">
        <v>19</v>
      </c>
      <c r="O35" s="4" t="s">
        <v>30</v>
      </c>
      <c r="P35" s="4">
        <v>8</v>
      </c>
      <c r="Q35" s="4" t="s">
        <v>19</v>
      </c>
      <c r="R35" s="4" t="s">
        <v>20</v>
      </c>
      <c r="S35" s="4">
        <v>9.43</v>
      </c>
      <c r="T35" s="4">
        <v>11.17</v>
      </c>
      <c r="U35" s="4">
        <v>10.43</v>
      </c>
      <c r="V35" s="17">
        <f t="shared" si="0"/>
        <v>10.343333333333334</v>
      </c>
      <c r="W35" s="4">
        <v>6.99</v>
      </c>
      <c r="X35" s="4">
        <v>7.87</v>
      </c>
      <c r="Y35" s="4">
        <v>7.24</v>
      </c>
      <c r="Z35" s="17">
        <f t="shared" si="1"/>
        <v>7.3666666666666671</v>
      </c>
      <c r="AA35" s="4">
        <v>5.86</v>
      </c>
      <c r="AB35" s="4">
        <v>5.82</v>
      </c>
      <c r="AC35" s="4">
        <v>5.56</v>
      </c>
      <c r="AD35" s="17">
        <f t="shared" si="2"/>
        <v>5.7466666666666661</v>
      </c>
      <c r="AE35" s="8">
        <f t="shared" si="3"/>
        <v>22.875678391558964</v>
      </c>
      <c r="AF35" s="9">
        <f t="shared" si="4"/>
        <v>28.502277834542593</v>
      </c>
      <c r="AG35" s="9">
        <f t="shared" si="5"/>
        <v>28.547441207419034</v>
      </c>
      <c r="AH35" s="9">
        <f t="shared" si="6"/>
        <v>8.328471773222617</v>
      </c>
      <c r="AI35" s="9">
        <f t="shared" si="7"/>
        <v>11.710599909813052</v>
      </c>
      <c r="AJ35" s="9">
        <f t="shared" si="8"/>
        <v>10.42105852028412</v>
      </c>
      <c r="AK35" s="9">
        <f t="shared" si="9"/>
        <v>14.668785434053301</v>
      </c>
      <c r="AL35" s="9">
        <f t="shared" si="10"/>
        <v>16.542083522724845</v>
      </c>
      <c r="AM35" s="9">
        <f t="shared" si="11"/>
        <v>15.21240778921101</v>
      </c>
      <c r="AN35" s="9">
        <f t="shared" si="12"/>
        <v>26.641799144506866</v>
      </c>
      <c r="AO35" s="9">
        <f t="shared" si="13"/>
        <v>10.153376734439929</v>
      </c>
      <c r="AP35" s="9">
        <f t="shared" si="14"/>
        <v>15.474425581996385</v>
      </c>
      <c r="AQ35" s="9">
        <f t="shared" si="15"/>
        <v>24.344611394544863</v>
      </c>
      <c r="AR35" s="9">
        <f t="shared" si="16"/>
        <v>30.814249820580923</v>
      </c>
      <c r="AS35" s="9">
        <f t="shared" si="17"/>
        <v>30.390045412506915</v>
      </c>
      <c r="AT35" s="9">
        <f t="shared" si="18"/>
        <v>28.516302209210902</v>
      </c>
      <c r="AU35" s="9">
        <f t="shared" si="19"/>
        <v>20.005320544823288</v>
      </c>
      <c r="AV35" s="9">
        <f t="shared" si="20"/>
        <v>22.336064701034438</v>
      </c>
      <c r="AW35" s="9">
        <f t="shared" si="21"/>
        <v>20.054282651650094</v>
      </c>
      <c r="AX35" s="9">
        <f t="shared" si="22"/>
        <v>20.798555965835941</v>
      </c>
      <c r="AY35" s="11">
        <v>4.68</v>
      </c>
      <c r="AZ35" s="4">
        <v>11.1</v>
      </c>
      <c r="BA35" s="4">
        <v>3.25</v>
      </c>
      <c r="BB35" s="4"/>
      <c r="BC35" s="4"/>
      <c r="BD35" s="8" t="s">
        <v>19</v>
      </c>
      <c r="BE35" s="4">
        <v>4</v>
      </c>
      <c r="BF35" s="4">
        <v>2</v>
      </c>
      <c r="BG35" s="4">
        <v>2</v>
      </c>
      <c r="BH35" s="22"/>
    </row>
    <row r="36" spans="1:60" ht="13.2" x14ac:dyDescent="0.25">
      <c r="A36" s="20" t="s">
        <v>21</v>
      </c>
      <c r="B36" s="4"/>
      <c r="C36" s="4"/>
      <c r="D36" s="4">
        <v>15</v>
      </c>
      <c r="E36" s="4">
        <v>5</v>
      </c>
      <c r="F36" s="8" t="s">
        <v>17</v>
      </c>
      <c r="G36" s="8" t="s">
        <v>18</v>
      </c>
      <c r="H36" s="4">
        <v>25.044499999999999</v>
      </c>
      <c r="I36" s="4">
        <v>51.19</v>
      </c>
      <c r="J36" s="4">
        <v>33.04</v>
      </c>
      <c r="K36" s="4">
        <v>32.07</v>
      </c>
      <c r="L36" s="4">
        <v>4</v>
      </c>
      <c r="M36" s="4">
        <v>6</v>
      </c>
      <c r="N36" s="4" t="s">
        <v>19</v>
      </c>
      <c r="O36" s="4" t="s">
        <v>28</v>
      </c>
      <c r="P36" s="4">
        <v>8</v>
      </c>
      <c r="Q36" s="4" t="s">
        <v>19</v>
      </c>
      <c r="R36" s="4" t="s">
        <v>20</v>
      </c>
      <c r="S36" s="4">
        <v>10.84</v>
      </c>
      <c r="T36" s="4">
        <v>10.23</v>
      </c>
      <c r="U36" s="4">
        <v>12.83</v>
      </c>
      <c r="V36" s="17">
        <f t="shared" si="0"/>
        <v>11.299999999999999</v>
      </c>
      <c r="W36" s="4">
        <v>7.64</v>
      </c>
      <c r="X36" s="4">
        <v>7.36</v>
      </c>
      <c r="Y36" s="4">
        <v>9.1999999999999993</v>
      </c>
      <c r="Z36" s="17">
        <f t="shared" si="1"/>
        <v>8.0666666666666664</v>
      </c>
      <c r="AA36" s="4">
        <v>5.79</v>
      </c>
      <c r="AB36" s="4">
        <v>5.67</v>
      </c>
      <c r="AC36" s="4">
        <v>6.08</v>
      </c>
      <c r="AD36" s="17">
        <f t="shared" si="2"/>
        <v>5.8466666666666667</v>
      </c>
      <c r="AE36" s="8">
        <f t="shared" si="3"/>
        <v>28.055419709542313</v>
      </c>
      <c r="AF36" s="9">
        <f t="shared" si="4"/>
        <v>25.865911647515201</v>
      </c>
      <c r="AG36" s="9">
        <f t="shared" si="5"/>
        <v>29.218797665995304</v>
      </c>
      <c r="AH36" s="9">
        <f t="shared" si="6"/>
        <v>10.999230848465919</v>
      </c>
      <c r="AI36" s="9">
        <f t="shared" si="7"/>
        <v>10.438052916768775</v>
      </c>
      <c r="AJ36" s="9">
        <f t="shared" si="8"/>
        <v>15.285724529445016</v>
      </c>
      <c r="AK36" s="9">
        <f t="shared" si="9"/>
        <v>16.063037909717785</v>
      </c>
      <c r="AL36" s="9">
        <f t="shared" si="10"/>
        <v>15.470011121701244</v>
      </c>
      <c r="AM36" s="9">
        <f t="shared" si="11"/>
        <v>19.184542060399195</v>
      </c>
      <c r="AN36" s="9">
        <f t="shared" si="12"/>
        <v>27.713376341017607</v>
      </c>
      <c r="AO36" s="9">
        <f t="shared" si="13"/>
        <v>12.241002764893238</v>
      </c>
      <c r="AP36" s="9">
        <f t="shared" si="14"/>
        <v>16.905863697272739</v>
      </c>
      <c r="AQ36" s="9">
        <f t="shared" si="15"/>
        <v>30.134525951745445</v>
      </c>
      <c r="AR36" s="9">
        <f t="shared" si="16"/>
        <v>27.892621498351993</v>
      </c>
      <c r="AS36" s="9">
        <f t="shared" si="17"/>
        <v>32.975619955301063</v>
      </c>
      <c r="AT36" s="9">
        <f t="shared" si="18"/>
        <v>30.3342558017995</v>
      </c>
      <c r="AU36" s="9">
        <f t="shared" si="19"/>
        <v>21.407845898947375</v>
      </c>
      <c r="AV36" s="9">
        <f t="shared" si="20"/>
        <v>21.976280850930049</v>
      </c>
      <c r="AW36" s="9">
        <f t="shared" si="21"/>
        <v>27.616177486525391</v>
      </c>
      <c r="AX36" s="9">
        <f t="shared" si="22"/>
        <v>23.666768078800938</v>
      </c>
      <c r="AY36" s="11">
        <v>6.61</v>
      </c>
      <c r="AZ36" s="4">
        <v>11.8</v>
      </c>
      <c r="BA36" s="4">
        <v>3.65</v>
      </c>
      <c r="BB36" s="4"/>
      <c r="BC36" s="4"/>
      <c r="BD36" s="8" t="s">
        <v>19</v>
      </c>
      <c r="BE36" s="4">
        <v>4</v>
      </c>
      <c r="BF36" s="4">
        <v>2</v>
      </c>
      <c r="BG36" s="4">
        <v>2</v>
      </c>
      <c r="BH36" s="22"/>
    </row>
    <row r="37" spans="1:60" ht="13.2" x14ac:dyDescent="0.25">
      <c r="A37" s="20">
        <v>727</v>
      </c>
      <c r="B37" s="4"/>
      <c r="C37" s="4"/>
      <c r="D37" s="4">
        <v>5</v>
      </c>
      <c r="E37" s="4">
        <v>1</v>
      </c>
      <c r="F37" s="8" t="s">
        <v>17</v>
      </c>
      <c r="G37" s="8" t="s">
        <v>18</v>
      </c>
      <c r="H37" s="4">
        <v>19.529199999999999</v>
      </c>
      <c r="I37" s="4">
        <v>51.32</v>
      </c>
      <c r="J37" s="4">
        <v>29.52</v>
      </c>
      <c r="K37" s="4">
        <v>31.9</v>
      </c>
      <c r="L37" s="4">
        <v>4</v>
      </c>
      <c r="M37" s="4">
        <v>5</v>
      </c>
      <c r="N37" s="4" t="s">
        <v>19</v>
      </c>
      <c r="O37" s="4" t="s">
        <v>28</v>
      </c>
      <c r="P37" s="4">
        <v>4</v>
      </c>
      <c r="Q37" s="4" t="s">
        <v>19</v>
      </c>
      <c r="R37" s="4" t="s">
        <v>20</v>
      </c>
      <c r="S37" s="4">
        <v>16.93</v>
      </c>
      <c r="T37" s="4">
        <v>11.96</v>
      </c>
      <c r="U37" s="4">
        <v>12.02</v>
      </c>
      <c r="V37" s="17">
        <f t="shared" si="0"/>
        <v>13.636666666666665</v>
      </c>
      <c r="W37" s="4">
        <v>11.97</v>
      </c>
      <c r="X37" s="4">
        <v>8.1999999999999993</v>
      </c>
      <c r="Y37" s="4">
        <v>8.43</v>
      </c>
      <c r="Z37" s="17">
        <f t="shared" si="1"/>
        <v>9.5333333333333332</v>
      </c>
      <c r="AA37" s="4">
        <v>7.42</v>
      </c>
      <c r="AB37" s="4">
        <v>6.22</v>
      </c>
      <c r="AC37" s="4">
        <v>6.45</v>
      </c>
      <c r="AD37" s="17">
        <f t="shared" si="2"/>
        <v>6.6966666666666663</v>
      </c>
      <c r="AE37" s="8">
        <f t="shared" si="3"/>
        <v>34.788255227195478</v>
      </c>
      <c r="AF37" s="9">
        <f t="shared" si="4"/>
        <v>31.457856712879178</v>
      </c>
      <c r="AG37" s="9">
        <f t="shared" si="5"/>
        <v>29.901258251753326</v>
      </c>
      <c r="AH37" s="9">
        <f t="shared" si="6"/>
        <v>19.066424925805549</v>
      </c>
      <c r="AI37" s="9">
        <f t="shared" si="7"/>
        <v>11.37454275996207</v>
      </c>
      <c r="AJ37" s="9">
        <f t="shared" si="8"/>
        <v>11.331312635014468</v>
      </c>
      <c r="AK37" s="9">
        <f t="shared" si="9"/>
        <v>24.13331782945437</v>
      </c>
      <c r="AL37" s="9">
        <f t="shared" si="10"/>
        <v>17.217344866801142</v>
      </c>
      <c r="AM37" s="9">
        <f t="shared" si="11"/>
        <v>17.679976247022502</v>
      </c>
      <c r="AN37" s="9">
        <f t="shared" si="12"/>
        <v>32.049123397275991</v>
      </c>
      <c r="AO37" s="9">
        <f t="shared" si="13"/>
        <v>13.924093440260696</v>
      </c>
      <c r="AP37" s="9">
        <f t="shared" si="14"/>
        <v>19.676879647759339</v>
      </c>
      <c r="AQ37" s="9">
        <f t="shared" si="15"/>
        <v>39.670533916294502</v>
      </c>
      <c r="AR37" s="9">
        <f t="shared" si="16"/>
        <v>33.451113164829707</v>
      </c>
      <c r="AS37" s="9">
        <f t="shared" si="17"/>
        <v>31.976302023068349</v>
      </c>
      <c r="AT37" s="9">
        <f t="shared" si="18"/>
        <v>35.032649701397524</v>
      </c>
      <c r="AU37" s="9">
        <f t="shared" si="19"/>
        <v>28.725858412514885</v>
      </c>
      <c r="AV37" s="9">
        <f t="shared" si="20"/>
        <v>19.878994624859104</v>
      </c>
      <c r="AW37" s="9">
        <f t="shared" si="21"/>
        <v>20.754589914650985</v>
      </c>
      <c r="AX37" s="9">
        <f t="shared" si="22"/>
        <v>23.11981431734166</v>
      </c>
      <c r="AY37" s="11">
        <v>5.04</v>
      </c>
      <c r="AZ37" s="4">
        <v>8.5</v>
      </c>
      <c r="BA37" s="4">
        <v>3.44</v>
      </c>
      <c r="BB37" s="4"/>
      <c r="BC37" s="4"/>
      <c r="BD37" s="8" t="s">
        <v>19</v>
      </c>
      <c r="BE37" s="4">
        <v>4</v>
      </c>
      <c r="BF37" s="4">
        <v>2</v>
      </c>
      <c r="BG37" s="4">
        <v>2</v>
      </c>
      <c r="BH37" s="22"/>
    </row>
    <row r="38" spans="1:60" ht="13.2" x14ac:dyDescent="0.25">
      <c r="A38" s="20">
        <v>727</v>
      </c>
      <c r="B38" s="4"/>
      <c r="C38" s="4"/>
      <c r="D38" s="4">
        <v>5</v>
      </c>
      <c r="E38" s="4">
        <v>2</v>
      </c>
      <c r="F38" s="8" t="s">
        <v>17</v>
      </c>
      <c r="G38" s="8" t="s">
        <v>18</v>
      </c>
      <c r="H38" s="4">
        <v>33.821100000000001</v>
      </c>
      <c r="I38" s="4">
        <v>64.69</v>
      </c>
      <c r="J38" s="4">
        <v>34.17</v>
      </c>
      <c r="K38" s="4">
        <v>36.01</v>
      </c>
      <c r="L38" s="4">
        <v>4</v>
      </c>
      <c r="M38" s="4">
        <v>5</v>
      </c>
      <c r="N38" s="4" t="s">
        <v>19</v>
      </c>
      <c r="O38" s="4" t="s">
        <v>28</v>
      </c>
      <c r="P38" s="4">
        <v>5</v>
      </c>
      <c r="Q38" s="4" t="s">
        <v>19</v>
      </c>
      <c r="R38" s="4" t="s">
        <v>19</v>
      </c>
      <c r="S38" s="4">
        <v>13.11</v>
      </c>
      <c r="T38" s="4">
        <v>12.29</v>
      </c>
      <c r="U38" s="4">
        <v>14.56</v>
      </c>
      <c r="V38" s="17">
        <f t="shared" si="0"/>
        <v>13.32</v>
      </c>
      <c r="W38" s="4">
        <v>8.86</v>
      </c>
      <c r="X38" s="4">
        <v>8.33</v>
      </c>
      <c r="Y38" s="4">
        <v>9.81</v>
      </c>
      <c r="Z38" s="17">
        <f t="shared" si="1"/>
        <v>9</v>
      </c>
      <c r="AA38" s="4">
        <v>6.15</v>
      </c>
      <c r="AB38" s="4">
        <v>6.08</v>
      </c>
      <c r="AC38" s="4">
        <v>6.21</v>
      </c>
      <c r="AD38" s="17">
        <f t="shared" si="2"/>
        <v>6.1466666666666674</v>
      </c>
      <c r="AE38" s="8">
        <f t="shared" si="3"/>
        <v>34.010602053934662</v>
      </c>
      <c r="AF38" s="9">
        <f t="shared" si="4"/>
        <v>32.720253521119211</v>
      </c>
      <c r="AG38" s="9">
        <f t="shared" si="5"/>
        <v>36.080905138024534</v>
      </c>
      <c r="AH38" s="9">
        <f t="shared" si="6"/>
        <v>13.893754915919377</v>
      </c>
      <c r="AI38" s="9">
        <f t="shared" si="7"/>
        <v>12.346199735679859</v>
      </c>
      <c r="AJ38" s="9">
        <f t="shared" si="8"/>
        <v>16.782006887956928</v>
      </c>
      <c r="AK38" s="9">
        <f t="shared" si="9"/>
        <v>18.528272473438342</v>
      </c>
      <c r="AL38" s="9">
        <f t="shared" si="10"/>
        <v>17.479617680015409</v>
      </c>
      <c r="AM38" s="9">
        <f t="shared" si="11"/>
        <v>20.332266651008716</v>
      </c>
      <c r="AN38" s="9">
        <f t="shared" si="12"/>
        <v>34.270586904359469</v>
      </c>
      <c r="AO38" s="9">
        <f t="shared" si="13"/>
        <v>14.34065384651872</v>
      </c>
      <c r="AP38" s="9">
        <f t="shared" si="14"/>
        <v>18.780052268154154</v>
      </c>
      <c r="AQ38" s="9">
        <f t="shared" si="15"/>
        <v>36.739045683505971</v>
      </c>
      <c r="AR38" s="9">
        <f t="shared" si="16"/>
        <v>34.972040809761381</v>
      </c>
      <c r="AS38" s="9">
        <f t="shared" si="17"/>
        <v>39.792806771658604</v>
      </c>
      <c r="AT38" s="9">
        <f t="shared" si="18"/>
        <v>37.167964421641983</v>
      </c>
      <c r="AU38" s="9">
        <f t="shared" si="19"/>
        <v>22.220626937287687</v>
      </c>
      <c r="AV38" s="9">
        <f t="shared" si="20"/>
        <v>20.672791161499831</v>
      </c>
      <c r="AW38" s="9">
        <f t="shared" si="21"/>
        <v>24.944154028057934</v>
      </c>
      <c r="AX38" s="9">
        <f t="shared" si="22"/>
        <v>22.612524042281819</v>
      </c>
      <c r="AY38" s="11">
        <v>6.02</v>
      </c>
      <c r="AZ38" s="4">
        <v>10.4</v>
      </c>
      <c r="BA38" s="4">
        <v>3.47</v>
      </c>
      <c r="BB38" s="4"/>
      <c r="BC38" s="4"/>
      <c r="BD38" s="8" t="s">
        <v>19</v>
      </c>
      <c r="BE38" s="4">
        <v>4</v>
      </c>
      <c r="BF38" s="4">
        <v>2</v>
      </c>
      <c r="BG38" s="4">
        <v>2</v>
      </c>
      <c r="BH38" s="22"/>
    </row>
    <row r="39" spans="1:60" ht="13.2" x14ac:dyDescent="0.25">
      <c r="A39" s="20">
        <v>727</v>
      </c>
      <c r="B39" s="4"/>
      <c r="C39" s="4"/>
      <c r="D39" s="4">
        <v>5</v>
      </c>
      <c r="E39" s="4">
        <v>3</v>
      </c>
      <c r="F39" s="8" t="s">
        <v>17</v>
      </c>
      <c r="G39" s="8" t="s">
        <v>18</v>
      </c>
      <c r="H39" s="4">
        <v>34.337499999999999</v>
      </c>
      <c r="I39" s="4">
        <v>64.849999999999994</v>
      </c>
      <c r="J39" s="4">
        <v>35.39</v>
      </c>
      <c r="K39" s="4">
        <v>38.83</v>
      </c>
      <c r="L39" s="4">
        <v>4</v>
      </c>
      <c r="M39" s="4">
        <v>5</v>
      </c>
      <c r="N39" s="4" t="s">
        <v>19</v>
      </c>
      <c r="O39" s="4" t="s">
        <v>28</v>
      </c>
      <c r="P39" s="4">
        <v>4</v>
      </c>
      <c r="Q39" s="4" t="s">
        <v>19</v>
      </c>
      <c r="R39" s="4" t="s">
        <v>20</v>
      </c>
      <c r="S39" s="4">
        <v>16.78</v>
      </c>
      <c r="T39" s="4">
        <v>17.8</v>
      </c>
      <c r="U39" s="4">
        <v>23.49</v>
      </c>
      <c r="V39" s="17">
        <f t="shared" si="0"/>
        <v>19.356666666666666</v>
      </c>
      <c r="W39" s="4">
        <v>11.96</v>
      </c>
      <c r="X39" s="4">
        <v>12.66</v>
      </c>
      <c r="Y39" s="4">
        <v>18.39</v>
      </c>
      <c r="Z39" s="17">
        <f t="shared" si="1"/>
        <v>14.336666666666668</v>
      </c>
      <c r="AA39" s="4">
        <v>7.23</v>
      </c>
      <c r="AB39" s="4">
        <v>7.61</v>
      </c>
      <c r="AC39" s="4">
        <v>9.6199999999999992</v>
      </c>
      <c r="AD39" s="17">
        <f t="shared" si="2"/>
        <v>8.1533333333333342</v>
      </c>
      <c r="AE39" s="8">
        <f t="shared" si="3"/>
        <v>33.938029620910939</v>
      </c>
      <c r="AF39" s="9">
        <f t="shared" si="4"/>
        <v>35.14396913295095</v>
      </c>
      <c r="AG39" s="9">
        <f t="shared" si="5"/>
        <v>30.324948142952639</v>
      </c>
      <c r="AH39" s="9">
        <f t="shared" si="6"/>
        <v>19.683490031773669</v>
      </c>
      <c r="AI39" s="9">
        <f t="shared" si="7"/>
        <v>20.395081008545056</v>
      </c>
      <c r="AJ39" s="9">
        <f t="shared" si="8"/>
        <v>28.688410314792002</v>
      </c>
      <c r="AK39" s="9">
        <f t="shared" si="9"/>
        <v>24.116550200634151</v>
      </c>
      <c r="AL39" s="9">
        <f t="shared" si="10"/>
        <v>25.27383674920469</v>
      </c>
      <c r="AM39" s="9">
        <f t="shared" si="11"/>
        <v>33.744933410348438</v>
      </c>
      <c r="AN39" s="9">
        <f t="shared" si="12"/>
        <v>33.135648965604837</v>
      </c>
      <c r="AO39" s="9">
        <f t="shared" si="13"/>
        <v>22.922327118370237</v>
      </c>
      <c r="AP39" s="9">
        <f t="shared" si="14"/>
        <v>27.711773453395761</v>
      </c>
      <c r="AQ39" s="9">
        <f t="shared" si="15"/>
        <v>39.233017146030988</v>
      </c>
      <c r="AR39" s="9">
        <f t="shared" si="16"/>
        <v>40.633211733296747</v>
      </c>
      <c r="AS39" s="9">
        <f t="shared" si="17"/>
        <v>41.744788492249313</v>
      </c>
      <c r="AT39" s="9">
        <f t="shared" si="18"/>
        <v>40.537005790525683</v>
      </c>
      <c r="AU39" s="9">
        <f t="shared" si="19"/>
        <v>30.113016678743698</v>
      </c>
      <c r="AV39" s="9">
        <f t="shared" si="20"/>
        <v>30.127856607075771</v>
      </c>
      <c r="AW39" s="9">
        <f t="shared" si="21"/>
        <v>43.411500596139341</v>
      </c>
      <c r="AX39" s="9">
        <f t="shared" si="22"/>
        <v>34.550791293986272</v>
      </c>
      <c r="AY39" s="11">
        <v>5.25</v>
      </c>
      <c r="AZ39" s="4">
        <v>9.3000000000000007</v>
      </c>
      <c r="BA39" s="4">
        <v>3.11</v>
      </c>
      <c r="BB39" s="4"/>
      <c r="BC39" s="4"/>
      <c r="BD39" s="8" t="s">
        <v>19</v>
      </c>
      <c r="BE39" s="4">
        <v>4</v>
      </c>
      <c r="BF39" s="4">
        <v>2</v>
      </c>
      <c r="BG39" s="4">
        <v>2</v>
      </c>
      <c r="BH39" s="22"/>
    </row>
    <row r="40" spans="1:60" ht="13.2" x14ac:dyDescent="0.25">
      <c r="A40" s="20">
        <v>727</v>
      </c>
      <c r="B40" s="4"/>
      <c r="C40" s="4"/>
      <c r="D40" s="4">
        <v>5</v>
      </c>
      <c r="E40" s="4">
        <v>4</v>
      </c>
      <c r="F40" s="8" t="s">
        <v>17</v>
      </c>
      <c r="G40" s="8" t="s">
        <v>18</v>
      </c>
      <c r="H40" s="4">
        <v>26.254899999999999</v>
      </c>
      <c r="I40" s="4">
        <v>61.49</v>
      </c>
      <c r="J40" s="4">
        <v>32.21</v>
      </c>
      <c r="K40" s="4">
        <v>38.130000000000003</v>
      </c>
      <c r="L40" s="4">
        <v>4</v>
      </c>
      <c r="M40" s="4">
        <v>5</v>
      </c>
      <c r="N40" s="4" t="s">
        <v>19</v>
      </c>
      <c r="O40" s="4" t="s">
        <v>28</v>
      </c>
      <c r="P40" s="4">
        <v>5</v>
      </c>
      <c r="Q40" s="4" t="s">
        <v>19</v>
      </c>
      <c r="R40" s="4" t="s">
        <v>20</v>
      </c>
      <c r="S40" s="4">
        <v>14.93</v>
      </c>
      <c r="T40" s="4">
        <v>13.57</v>
      </c>
      <c r="U40" s="4">
        <v>11.63</v>
      </c>
      <c r="V40" s="17">
        <f t="shared" si="0"/>
        <v>13.376666666666667</v>
      </c>
      <c r="W40" s="4">
        <v>10.41</v>
      </c>
      <c r="X40" s="4">
        <v>9.59</v>
      </c>
      <c r="Y40" s="4">
        <v>8</v>
      </c>
      <c r="Z40" s="17">
        <f t="shared" si="1"/>
        <v>9.3333333333333339</v>
      </c>
      <c r="AA40" s="4">
        <v>6.69</v>
      </c>
      <c r="AB40" s="4">
        <v>6.56</v>
      </c>
      <c r="AC40" s="4">
        <v>6.08</v>
      </c>
      <c r="AD40" s="17">
        <f t="shared" si="2"/>
        <v>6.4433333333333325</v>
      </c>
      <c r="AE40" s="8">
        <f t="shared" si="3"/>
        <v>33.795755819168825</v>
      </c>
      <c r="AF40" s="9">
        <f t="shared" si="4"/>
        <v>31.18079044956265</v>
      </c>
      <c r="AG40" s="9">
        <f t="shared" si="5"/>
        <v>30.788581774113062</v>
      </c>
      <c r="AH40" s="9">
        <f t="shared" si="6"/>
        <v>16.929855963927931</v>
      </c>
      <c r="AI40" s="9">
        <f t="shared" si="7"/>
        <v>14.800985419306651</v>
      </c>
      <c r="AJ40" s="9">
        <f t="shared" si="8"/>
        <v>11.191263471956409</v>
      </c>
      <c r="AK40" s="9">
        <f t="shared" si="9"/>
        <v>21.426856667371894</v>
      </c>
      <c r="AL40" s="9">
        <f t="shared" si="10"/>
        <v>19.922561155908696</v>
      </c>
      <c r="AM40" s="9">
        <f t="shared" si="11"/>
        <v>16.809754647055804</v>
      </c>
      <c r="AN40" s="9">
        <f t="shared" si="12"/>
        <v>31.921709347614847</v>
      </c>
      <c r="AO40" s="9">
        <f t="shared" si="13"/>
        <v>14.307368285063665</v>
      </c>
      <c r="AP40" s="9">
        <f t="shared" si="14"/>
        <v>19.386390823445463</v>
      </c>
      <c r="AQ40" s="9">
        <f t="shared" si="15"/>
        <v>37.799115523358871</v>
      </c>
      <c r="AR40" s="9">
        <f t="shared" si="16"/>
        <v>34.515371393656849</v>
      </c>
      <c r="AS40" s="9">
        <f t="shared" si="17"/>
        <v>32.759443611880727</v>
      </c>
      <c r="AT40" s="9">
        <f t="shared" si="18"/>
        <v>35.024643509632149</v>
      </c>
      <c r="AU40" s="9">
        <f t="shared" si="19"/>
        <v>26.608406064799507</v>
      </c>
      <c r="AV40" s="9">
        <f t="shared" si="20"/>
        <v>25.392888506283267</v>
      </c>
      <c r="AW40" s="9">
        <f t="shared" si="21"/>
        <v>19.975571138214878</v>
      </c>
      <c r="AX40" s="9">
        <f t="shared" si="22"/>
        <v>23.992288569765886</v>
      </c>
      <c r="AY40" s="11">
        <v>4.76</v>
      </c>
      <c r="AZ40" s="4">
        <v>9.3000000000000007</v>
      </c>
      <c r="BA40" s="4">
        <v>3.18</v>
      </c>
      <c r="BB40" s="4"/>
      <c r="BC40" s="4"/>
      <c r="BD40" s="8" t="s">
        <v>19</v>
      </c>
      <c r="BE40" s="4">
        <v>5</v>
      </c>
      <c r="BF40" s="4">
        <v>2</v>
      </c>
      <c r="BG40" s="4">
        <v>2</v>
      </c>
      <c r="BH40" s="22"/>
    </row>
    <row r="41" spans="1:60" ht="13.2" x14ac:dyDescent="0.25">
      <c r="A41" s="20">
        <v>727</v>
      </c>
      <c r="B41" s="4"/>
      <c r="C41" s="4"/>
      <c r="D41" s="4">
        <v>5</v>
      </c>
      <c r="E41" s="4">
        <v>5</v>
      </c>
      <c r="F41" s="8" t="s">
        <v>17</v>
      </c>
      <c r="G41" s="8" t="s">
        <v>18</v>
      </c>
      <c r="H41" s="4">
        <v>31.756799999999998</v>
      </c>
      <c r="I41" s="4">
        <v>62.28</v>
      </c>
      <c r="J41" s="4">
        <v>33.630000000000003</v>
      </c>
      <c r="K41" s="4">
        <v>37.799999999999997</v>
      </c>
      <c r="L41" s="4">
        <v>2</v>
      </c>
      <c r="M41" s="4">
        <v>5</v>
      </c>
      <c r="N41" s="4" t="s">
        <v>19</v>
      </c>
      <c r="O41" s="4" t="s">
        <v>28</v>
      </c>
      <c r="P41" s="4">
        <v>4</v>
      </c>
      <c r="Q41" s="4" t="s">
        <v>19</v>
      </c>
      <c r="R41" s="4" t="s">
        <v>19</v>
      </c>
      <c r="S41" s="4">
        <v>13.17</v>
      </c>
      <c r="T41" s="4">
        <v>13.26</v>
      </c>
      <c r="U41" s="4">
        <v>12.15</v>
      </c>
      <c r="V41" s="17">
        <f t="shared" si="0"/>
        <v>12.86</v>
      </c>
      <c r="W41" s="4">
        <v>9.19</v>
      </c>
      <c r="X41" s="4">
        <v>9.18</v>
      </c>
      <c r="Y41" s="4">
        <v>8.3800000000000008</v>
      </c>
      <c r="Z41" s="17">
        <f t="shared" si="1"/>
        <v>8.9166666666666661</v>
      </c>
      <c r="AA41" s="4">
        <v>6.14</v>
      </c>
      <c r="AB41" s="4">
        <v>5.92</v>
      </c>
      <c r="AC41" s="4">
        <v>5.57</v>
      </c>
      <c r="AD41" s="17">
        <f t="shared" si="2"/>
        <v>5.876666666666666</v>
      </c>
      <c r="AE41" s="8">
        <f t="shared" si="3"/>
        <v>31.682217891646019</v>
      </c>
      <c r="AF41" s="9">
        <f t="shared" si="4"/>
        <v>32.389805445185274</v>
      </c>
      <c r="AG41" s="9">
        <f t="shared" si="5"/>
        <v>31.276612609534876</v>
      </c>
      <c r="AH41" s="9">
        <f t="shared" si="6"/>
        <v>15.029395172671439</v>
      </c>
      <c r="AI41" s="9">
        <f t="shared" si="7"/>
        <v>15.820800708030974</v>
      </c>
      <c r="AJ41" s="9">
        <f t="shared" si="8"/>
        <v>14.464016291404786</v>
      </c>
      <c r="AK41" s="9">
        <f t="shared" si="9"/>
        <v>19.165414827639957</v>
      </c>
      <c r="AL41" s="9">
        <f t="shared" si="10"/>
        <v>19.146277185500026</v>
      </c>
      <c r="AM41" s="9">
        <f t="shared" si="11"/>
        <v>17.579946396621899</v>
      </c>
      <c r="AN41" s="9">
        <f t="shared" si="12"/>
        <v>31.782878648788724</v>
      </c>
      <c r="AO41" s="9">
        <f t="shared" si="13"/>
        <v>15.104737390702402</v>
      </c>
      <c r="AP41" s="9">
        <f t="shared" si="14"/>
        <v>18.630546136587295</v>
      </c>
      <c r="AQ41" s="9">
        <f t="shared" si="15"/>
        <v>35.066303623137337</v>
      </c>
      <c r="AR41" s="9">
        <f t="shared" si="16"/>
        <v>36.047152894787502</v>
      </c>
      <c r="AS41" s="9">
        <f t="shared" si="17"/>
        <v>34.459168063157577</v>
      </c>
      <c r="AT41" s="9">
        <f t="shared" si="18"/>
        <v>35.190874860360807</v>
      </c>
      <c r="AU41" s="9">
        <f t="shared" si="19"/>
        <v>25.378704591315756</v>
      </c>
      <c r="AV41" s="9">
        <f t="shared" si="20"/>
        <v>26.033196550885883</v>
      </c>
      <c r="AW41" s="9">
        <f t="shared" si="21"/>
        <v>24.818402843956484</v>
      </c>
      <c r="AX41" s="9">
        <f t="shared" si="22"/>
        <v>25.410101328719378</v>
      </c>
      <c r="AY41" s="11">
        <v>4.96</v>
      </c>
      <c r="AZ41" s="4">
        <v>10</v>
      </c>
      <c r="BA41" s="4">
        <v>3.62</v>
      </c>
      <c r="BB41" s="4"/>
      <c r="BC41" s="4"/>
      <c r="BD41" s="8" t="s">
        <v>19</v>
      </c>
      <c r="BE41" s="4">
        <v>4</v>
      </c>
      <c r="BF41" s="4">
        <v>2</v>
      </c>
      <c r="BG41" s="4">
        <v>2</v>
      </c>
      <c r="BH41" s="22"/>
    </row>
    <row r="42" spans="1:60" ht="13.2" x14ac:dyDescent="0.25">
      <c r="A42" s="20" t="s">
        <v>25</v>
      </c>
      <c r="B42" s="4"/>
      <c r="C42" s="4"/>
      <c r="D42" s="4">
        <v>7</v>
      </c>
      <c r="E42" s="4">
        <v>1</v>
      </c>
      <c r="F42" s="8" t="s">
        <v>17</v>
      </c>
      <c r="G42" s="8" t="s">
        <v>18</v>
      </c>
      <c r="H42" s="4">
        <v>30.120699999999999</v>
      </c>
      <c r="I42" s="4">
        <v>57.25</v>
      </c>
      <c r="J42" s="4">
        <v>33.39</v>
      </c>
      <c r="K42" s="4">
        <v>35.159999999999997</v>
      </c>
      <c r="L42" s="4">
        <v>5</v>
      </c>
      <c r="M42" s="4">
        <v>5</v>
      </c>
      <c r="N42" s="4" t="s">
        <v>19</v>
      </c>
      <c r="O42" s="4" t="s">
        <v>28</v>
      </c>
      <c r="P42" s="4">
        <v>4</v>
      </c>
      <c r="Q42" s="4" t="s">
        <v>19</v>
      </c>
      <c r="R42" s="4" t="s">
        <v>20</v>
      </c>
      <c r="S42" s="4">
        <v>17.190000000000001</v>
      </c>
      <c r="T42" s="4">
        <v>17.22</v>
      </c>
      <c r="U42" s="4">
        <v>13.6</v>
      </c>
      <c r="V42" s="17">
        <f t="shared" si="0"/>
        <v>16.003333333333334</v>
      </c>
      <c r="W42" s="4">
        <v>12.34</v>
      </c>
      <c r="X42" s="4">
        <v>12.33</v>
      </c>
      <c r="Y42" s="4">
        <v>9.61</v>
      </c>
      <c r="Z42" s="17">
        <f t="shared" si="1"/>
        <v>11.426666666666668</v>
      </c>
      <c r="AA42" s="4">
        <v>7.29</v>
      </c>
      <c r="AB42" s="4">
        <v>7.47</v>
      </c>
      <c r="AC42" s="4">
        <v>6.45</v>
      </c>
      <c r="AD42" s="17">
        <f t="shared" si="2"/>
        <v>7.07</v>
      </c>
      <c r="AE42" s="8">
        <f t="shared" si="3"/>
        <v>33.724384663413929</v>
      </c>
      <c r="AF42" s="9">
        <f t="shared" si="4"/>
        <v>33.978179967371346</v>
      </c>
      <c r="AG42" s="9">
        <f t="shared" si="5"/>
        <v>31.224924653547646</v>
      </c>
      <c r="AH42" s="9">
        <f t="shared" si="6"/>
        <v>20.568797122469046</v>
      </c>
      <c r="AI42" s="9">
        <f t="shared" si="7"/>
        <v>19.930634317582076</v>
      </c>
      <c r="AJ42" s="9">
        <f t="shared" si="8"/>
        <v>15.262388071182563</v>
      </c>
      <c r="AK42" s="9">
        <f t="shared" si="9"/>
        <v>24.748869922980688</v>
      </c>
      <c r="AL42" s="9">
        <f t="shared" si="10"/>
        <v>24.732355689304299</v>
      </c>
      <c r="AM42" s="9">
        <f t="shared" si="11"/>
        <v>19.96</v>
      </c>
      <c r="AN42" s="9">
        <f t="shared" si="12"/>
        <v>32.975829761444309</v>
      </c>
      <c r="AO42" s="9">
        <f t="shared" si="13"/>
        <v>18.58727317041123</v>
      </c>
      <c r="AP42" s="9">
        <f t="shared" si="14"/>
        <v>23.147075204095</v>
      </c>
      <c r="AQ42" s="9">
        <f t="shared" si="15"/>
        <v>39.502019391307066</v>
      </c>
      <c r="AR42" s="9">
        <f t="shared" si="16"/>
        <v>39.392218751883675</v>
      </c>
      <c r="AS42" s="9">
        <f t="shared" si="17"/>
        <v>34.755379572881999</v>
      </c>
      <c r="AT42" s="9">
        <f t="shared" si="18"/>
        <v>37.883205905357578</v>
      </c>
      <c r="AU42" s="9">
        <f t="shared" si="19"/>
        <v>31.379380295910771</v>
      </c>
      <c r="AV42" s="9">
        <f t="shared" si="20"/>
        <v>30.394673971472436</v>
      </c>
      <c r="AW42" s="9">
        <f t="shared" si="21"/>
        <v>26.048858737879335</v>
      </c>
      <c r="AX42" s="9">
        <f t="shared" si="22"/>
        <v>29.274304335087511</v>
      </c>
      <c r="AY42" s="11">
        <v>5.29</v>
      </c>
      <c r="AZ42" s="4">
        <v>10.9</v>
      </c>
      <c r="BA42" s="4">
        <v>3.53</v>
      </c>
      <c r="BB42" s="4"/>
      <c r="BC42" s="4"/>
      <c r="BD42" s="8" t="s">
        <v>19</v>
      </c>
      <c r="BE42" s="4">
        <v>4</v>
      </c>
      <c r="BF42" s="4">
        <v>2</v>
      </c>
      <c r="BG42" s="4">
        <v>2</v>
      </c>
      <c r="BH42" s="22"/>
    </row>
    <row r="43" spans="1:60" ht="13.2" x14ac:dyDescent="0.25">
      <c r="A43" s="20" t="s">
        <v>25</v>
      </c>
      <c r="B43" s="4"/>
      <c r="C43" s="4"/>
      <c r="D43" s="4">
        <v>7</v>
      </c>
      <c r="E43" s="4">
        <v>2</v>
      </c>
      <c r="F43" s="8" t="s">
        <v>17</v>
      </c>
      <c r="G43" s="8" t="s">
        <v>18</v>
      </c>
      <c r="H43" s="4">
        <v>30.101500000000001</v>
      </c>
      <c r="I43" s="4">
        <v>62.76</v>
      </c>
      <c r="J43" s="4">
        <v>32.92</v>
      </c>
      <c r="K43" s="4">
        <v>35.630000000000003</v>
      </c>
      <c r="L43" s="4">
        <v>5</v>
      </c>
      <c r="M43" s="4">
        <v>5</v>
      </c>
      <c r="N43" s="4" t="s">
        <v>19</v>
      </c>
      <c r="O43" s="4" t="s">
        <v>28</v>
      </c>
      <c r="P43" s="4">
        <v>4</v>
      </c>
      <c r="Q43" s="4" t="s">
        <v>19</v>
      </c>
      <c r="R43" s="4" t="s">
        <v>19</v>
      </c>
      <c r="S43" s="4">
        <v>12.28</v>
      </c>
      <c r="T43" s="4">
        <v>14.57</v>
      </c>
      <c r="U43" s="4">
        <v>14.32</v>
      </c>
      <c r="V43" s="17">
        <f t="shared" si="0"/>
        <v>13.723333333333334</v>
      </c>
      <c r="W43" s="4">
        <v>8.39</v>
      </c>
      <c r="X43" s="4">
        <v>9.58</v>
      </c>
      <c r="Y43" s="4">
        <v>9.5500000000000007</v>
      </c>
      <c r="Z43" s="17">
        <f t="shared" si="1"/>
        <v>9.1733333333333338</v>
      </c>
      <c r="AA43" s="4">
        <v>5.63</v>
      </c>
      <c r="AB43" s="4">
        <v>5.9</v>
      </c>
      <c r="AC43" s="4">
        <v>5.59</v>
      </c>
      <c r="AD43" s="17">
        <f t="shared" si="2"/>
        <v>5.706666666666667</v>
      </c>
      <c r="AE43" s="8">
        <f t="shared" si="3"/>
        <v>32.129430639661919</v>
      </c>
      <c r="AF43" s="9">
        <f t="shared" si="4"/>
        <v>37.993785480750276</v>
      </c>
      <c r="AG43" s="9">
        <f t="shared" si="5"/>
        <v>36.575465305876129</v>
      </c>
      <c r="AH43" s="9">
        <f t="shared" si="6"/>
        <v>14.265250031234272</v>
      </c>
      <c r="AI43" s="9">
        <f t="shared" si="7"/>
        <v>17.202620751344067</v>
      </c>
      <c r="AJ43" s="9">
        <f t="shared" si="8"/>
        <v>18.295799758348082</v>
      </c>
      <c r="AK43" s="9">
        <f t="shared" si="9"/>
        <v>17.599976190467757</v>
      </c>
      <c r="AL43" s="9">
        <f t="shared" si="10"/>
        <v>19.90382709405781</v>
      </c>
      <c r="AM43" s="9">
        <f t="shared" si="11"/>
        <v>19.847566165640863</v>
      </c>
      <c r="AN43" s="9">
        <f t="shared" si="12"/>
        <v>35.566227142096103</v>
      </c>
      <c r="AO43" s="9">
        <f t="shared" si="13"/>
        <v>16.587890180308808</v>
      </c>
      <c r="AP43" s="9">
        <f t="shared" si="14"/>
        <v>19.117123150055477</v>
      </c>
      <c r="AQ43" s="9">
        <f t="shared" si="15"/>
        <v>35.15391403076584</v>
      </c>
      <c r="AR43" s="9">
        <f t="shared" si="16"/>
        <v>41.706808747155947</v>
      </c>
      <c r="AS43" s="9">
        <f t="shared" si="17"/>
        <v>40.896221722048089</v>
      </c>
      <c r="AT43" s="9">
        <f t="shared" si="18"/>
        <v>39.25231483332329</v>
      </c>
      <c r="AU43" s="9">
        <f t="shared" si="19"/>
        <v>23.94089754824833</v>
      </c>
      <c r="AV43" s="9">
        <f t="shared" si="20"/>
        <v>24.359809589700998</v>
      </c>
      <c r="AW43" s="9">
        <f t="shared" si="21"/>
        <v>26.575160036874607</v>
      </c>
      <c r="AX43" s="9">
        <f t="shared" si="22"/>
        <v>24.958622391607978</v>
      </c>
      <c r="AY43" s="11">
        <v>5.0599999999999996</v>
      </c>
      <c r="AZ43" s="4">
        <v>9.4</v>
      </c>
      <c r="BA43" s="4">
        <v>3.84</v>
      </c>
      <c r="BB43" s="4"/>
      <c r="BC43" s="4"/>
      <c r="BD43" s="8" t="s">
        <v>19</v>
      </c>
      <c r="BE43" s="4">
        <v>4</v>
      </c>
      <c r="BF43" s="4">
        <v>2</v>
      </c>
      <c r="BG43" s="4">
        <v>2</v>
      </c>
      <c r="BH43" s="22"/>
    </row>
    <row r="44" spans="1:60" ht="13.2" x14ac:dyDescent="0.25">
      <c r="A44" s="20" t="s">
        <v>25</v>
      </c>
      <c r="B44" s="4"/>
      <c r="C44" s="4"/>
      <c r="D44" s="4">
        <v>7</v>
      </c>
      <c r="E44" s="4">
        <v>3</v>
      </c>
      <c r="F44" s="8" t="s">
        <v>17</v>
      </c>
      <c r="G44" s="8" t="s">
        <v>18</v>
      </c>
      <c r="H44" s="4">
        <v>32.375799999999998</v>
      </c>
      <c r="I44" s="4">
        <v>66.59</v>
      </c>
      <c r="J44" s="4">
        <v>31.57</v>
      </c>
      <c r="K44" s="4">
        <v>38.26</v>
      </c>
      <c r="L44" s="4">
        <v>2</v>
      </c>
      <c r="M44" s="4">
        <v>5</v>
      </c>
      <c r="N44" s="4" t="s">
        <v>19</v>
      </c>
      <c r="O44" s="4" t="s">
        <v>27</v>
      </c>
      <c r="P44" s="4">
        <v>4</v>
      </c>
      <c r="Q44" s="4" t="s">
        <v>19</v>
      </c>
      <c r="R44" s="4" t="s">
        <v>19</v>
      </c>
      <c r="S44" s="4">
        <v>15.09</v>
      </c>
      <c r="T44" s="4">
        <v>16.61</v>
      </c>
      <c r="U44" s="4">
        <v>16.71</v>
      </c>
      <c r="V44" s="17">
        <f t="shared" si="0"/>
        <v>16.136666666666667</v>
      </c>
      <c r="W44" s="4">
        <v>10.01</v>
      </c>
      <c r="X44" s="4">
        <v>11.04</v>
      </c>
      <c r="Y44" s="4">
        <v>11.29</v>
      </c>
      <c r="Z44" s="17">
        <f t="shared" si="1"/>
        <v>10.78</v>
      </c>
      <c r="AA44" s="4">
        <v>5.6</v>
      </c>
      <c r="AB44" s="4">
        <v>6.32</v>
      </c>
      <c r="AC44" s="4">
        <v>6.3</v>
      </c>
      <c r="AD44" s="17">
        <f t="shared" si="2"/>
        <v>6.0733333333333333</v>
      </c>
      <c r="AE44" s="8">
        <f t="shared" si="3"/>
        <v>37.968218072092803</v>
      </c>
      <c r="AF44" s="9">
        <f t="shared" si="4"/>
        <v>39.671218429327084</v>
      </c>
      <c r="AG44" s="9">
        <f t="shared" si="5"/>
        <v>38.419307319832754</v>
      </c>
      <c r="AH44" s="9">
        <f t="shared" si="6"/>
        <v>19.72791864258555</v>
      </c>
      <c r="AI44" s="9">
        <f t="shared" si="7"/>
        <v>20.188775638319719</v>
      </c>
      <c r="AJ44" s="9">
        <f t="shared" si="8"/>
        <v>21.010236078357618</v>
      </c>
      <c r="AK44" s="9">
        <f t="shared" si="9"/>
        <v>20.700757485370787</v>
      </c>
      <c r="AL44" s="9">
        <f t="shared" si="10"/>
        <v>22.542734723939866</v>
      </c>
      <c r="AM44" s="9">
        <f t="shared" si="11"/>
        <v>22.976690470074544</v>
      </c>
      <c r="AN44" s="9">
        <f t="shared" si="12"/>
        <v>38.686247940417545</v>
      </c>
      <c r="AO44" s="9">
        <f t="shared" si="13"/>
        <v>20.30897678642096</v>
      </c>
      <c r="AP44" s="9">
        <f t="shared" si="14"/>
        <v>22.073394226461733</v>
      </c>
      <c r="AQ44" s="9">
        <f t="shared" si="15"/>
        <v>42.787572466061555</v>
      </c>
      <c r="AR44" s="9">
        <f t="shared" si="16"/>
        <v>44.512832233433457</v>
      </c>
      <c r="AS44" s="9">
        <f t="shared" si="17"/>
        <v>43.788962022455785</v>
      </c>
      <c r="AT44" s="9">
        <f t="shared" si="18"/>
        <v>43.696455573983599</v>
      </c>
      <c r="AU44" s="9">
        <f t="shared" si="19"/>
        <v>27.455951798392835</v>
      </c>
      <c r="AV44" s="9">
        <f t="shared" si="20"/>
        <v>26.971649375878869</v>
      </c>
      <c r="AW44" s="9">
        <f t="shared" si="21"/>
        <v>28.672776131136203</v>
      </c>
      <c r="AX44" s="9">
        <f t="shared" si="22"/>
        <v>27.700125768469302</v>
      </c>
      <c r="AY44" s="11">
        <v>5.66</v>
      </c>
      <c r="AZ44" s="4">
        <v>9</v>
      </c>
      <c r="BA44" s="4">
        <v>3.57</v>
      </c>
      <c r="BB44" s="4"/>
      <c r="BC44" s="4"/>
      <c r="BD44" s="8" t="s">
        <v>19</v>
      </c>
      <c r="BE44" s="4">
        <v>4</v>
      </c>
      <c r="BF44" s="4">
        <v>2</v>
      </c>
      <c r="BG44" s="4">
        <v>2</v>
      </c>
      <c r="BH44" s="22"/>
    </row>
    <row r="45" spans="1:60" ht="13.2" x14ac:dyDescent="0.25">
      <c r="A45" s="20" t="s">
        <v>25</v>
      </c>
      <c r="B45" s="4"/>
      <c r="C45" s="4"/>
      <c r="D45" s="4">
        <v>7</v>
      </c>
      <c r="E45" s="4">
        <v>4</v>
      </c>
      <c r="F45" s="8" t="s">
        <v>17</v>
      </c>
      <c r="G45" s="8" t="s">
        <v>18</v>
      </c>
      <c r="H45" s="4">
        <v>20.4817</v>
      </c>
      <c r="I45" s="4">
        <v>53.36</v>
      </c>
      <c r="J45" s="4">
        <v>29.29</v>
      </c>
      <c r="K45" s="4">
        <v>30.96</v>
      </c>
      <c r="L45" s="4">
        <v>2</v>
      </c>
      <c r="M45" s="4">
        <v>6</v>
      </c>
      <c r="N45" s="4" t="s">
        <v>19</v>
      </c>
      <c r="O45" s="4" t="s">
        <v>27</v>
      </c>
      <c r="P45" s="4">
        <v>4</v>
      </c>
      <c r="Q45" s="4" t="s">
        <v>19</v>
      </c>
      <c r="R45" s="4" t="s">
        <v>19</v>
      </c>
      <c r="S45" s="4">
        <v>8.5299999999999994</v>
      </c>
      <c r="T45" s="4">
        <v>8.9</v>
      </c>
      <c r="U45" s="4">
        <v>8.2799999999999994</v>
      </c>
      <c r="V45" s="17">
        <f t="shared" si="0"/>
        <v>8.57</v>
      </c>
      <c r="W45" s="4">
        <v>6.47</v>
      </c>
      <c r="X45" s="4">
        <v>6.47</v>
      </c>
      <c r="Y45" s="4">
        <v>6.18</v>
      </c>
      <c r="Z45" s="17">
        <f t="shared" si="1"/>
        <v>6.3733333333333322</v>
      </c>
      <c r="AA45" s="4">
        <v>5.61</v>
      </c>
      <c r="AB45" s="4">
        <v>5.33</v>
      </c>
      <c r="AC45" s="4">
        <v>5.32</v>
      </c>
      <c r="AD45" s="17">
        <f t="shared" si="2"/>
        <v>5.4200000000000008</v>
      </c>
      <c r="AE45" s="8">
        <f t="shared" si="3"/>
        <v>20.30233407430665</v>
      </c>
      <c r="AF45" s="9">
        <f t="shared" si="4"/>
        <v>23.467021726042535</v>
      </c>
      <c r="AG45" s="9">
        <f t="shared" si="5"/>
        <v>21.007962290384985</v>
      </c>
      <c r="AH45" s="9">
        <f t="shared" si="6"/>
        <v>7.2842740169590243</v>
      </c>
      <c r="AI45" s="9">
        <f t="shared" si="7"/>
        <v>8.3859569037994905</v>
      </c>
      <c r="AJ45" s="9">
        <f t="shared" si="8"/>
        <v>7.2726537666271689</v>
      </c>
      <c r="AK45" s="9">
        <f t="shared" si="9"/>
        <v>13.505985833386415</v>
      </c>
      <c r="AL45" s="9">
        <f t="shared" si="10"/>
        <v>13.505985833386415</v>
      </c>
      <c r="AM45" s="9">
        <f t="shared" si="11"/>
        <v>12.837142715602042</v>
      </c>
      <c r="AN45" s="9">
        <f t="shared" si="12"/>
        <v>21.592439363578055</v>
      </c>
      <c r="AO45" s="9">
        <f t="shared" si="13"/>
        <v>7.6476282291285615</v>
      </c>
      <c r="AP45" s="9">
        <f t="shared" si="14"/>
        <v>13.28303812745829</v>
      </c>
      <c r="AQ45" s="9">
        <f t="shared" si="15"/>
        <v>21.569548368449841</v>
      </c>
      <c r="AR45" s="9">
        <f t="shared" si="16"/>
        <v>24.920380853488869</v>
      </c>
      <c r="AS45" s="9">
        <f t="shared" si="17"/>
        <v>22.231193679230852</v>
      </c>
      <c r="AT45" s="9">
        <f t="shared" si="18"/>
        <v>22.90704096705652</v>
      </c>
      <c r="AU45" s="9">
        <f t="shared" si="19"/>
        <v>19.737477794558728</v>
      </c>
      <c r="AV45" s="9">
        <f t="shared" si="20"/>
        <v>19.664385333324404</v>
      </c>
      <c r="AW45" s="9">
        <f t="shared" si="21"/>
        <v>19.095116029734214</v>
      </c>
      <c r="AX45" s="9">
        <f t="shared" si="22"/>
        <v>19.498993052539117</v>
      </c>
      <c r="AY45" s="11">
        <v>5.05</v>
      </c>
      <c r="AZ45" s="4">
        <v>10.3</v>
      </c>
      <c r="BA45" s="4">
        <v>3.68</v>
      </c>
      <c r="BB45" s="4"/>
      <c r="BC45" s="4"/>
      <c r="BD45" s="8" t="s">
        <v>19</v>
      </c>
      <c r="BE45" s="4">
        <v>4</v>
      </c>
      <c r="BF45" s="4">
        <v>2</v>
      </c>
      <c r="BG45" s="4">
        <v>2</v>
      </c>
      <c r="BH45" s="22"/>
    </row>
    <row r="46" spans="1:60" ht="13.2" x14ac:dyDescent="0.25">
      <c r="A46" s="20">
        <v>726</v>
      </c>
      <c r="B46" s="4"/>
      <c r="C46" s="4"/>
      <c r="D46" s="4">
        <v>3</v>
      </c>
      <c r="E46" s="4">
        <v>1</v>
      </c>
      <c r="F46" s="8" t="s">
        <v>17</v>
      </c>
      <c r="G46" s="8" t="s">
        <v>18</v>
      </c>
      <c r="H46" s="4">
        <v>31.4999</v>
      </c>
      <c r="I46" s="4">
        <v>63.67</v>
      </c>
      <c r="J46" s="4">
        <v>32.33</v>
      </c>
      <c r="K46" s="4">
        <v>38.99</v>
      </c>
      <c r="L46" s="4">
        <v>5</v>
      </c>
      <c r="M46" s="4">
        <v>6</v>
      </c>
      <c r="N46" s="4" t="s">
        <v>19</v>
      </c>
      <c r="O46" s="4" t="s">
        <v>27</v>
      </c>
      <c r="P46" s="4">
        <v>4</v>
      </c>
      <c r="Q46" s="4" t="s">
        <v>19</v>
      </c>
      <c r="R46" s="4" t="s">
        <v>19</v>
      </c>
      <c r="S46" s="4">
        <v>13.34</v>
      </c>
      <c r="T46" s="4">
        <v>14.61</v>
      </c>
      <c r="U46" s="4">
        <v>14.38</v>
      </c>
      <c r="V46" s="17">
        <f t="shared" si="0"/>
        <v>14.11</v>
      </c>
      <c r="W46" s="4">
        <v>9.08</v>
      </c>
      <c r="X46" s="4">
        <v>9.93</v>
      </c>
      <c r="Y46" s="4">
        <v>9.7799999999999994</v>
      </c>
      <c r="Z46" s="17">
        <f t="shared" si="1"/>
        <v>9.5966666666666658</v>
      </c>
      <c r="AA46" s="4">
        <v>5.81</v>
      </c>
      <c r="AB46" s="4">
        <v>5.85</v>
      </c>
      <c r="AC46" s="4">
        <v>6.04</v>
      </c>
      <c r="AD46" s="17">
        <f t="shared" si="2"/>
        <v>5.8999999999999995</v>
      </c>
      <c r="AE46" s="8">
        <f t="shared" si="3"/>
        <v>33.771051630677427</v>
      </c>
      <c r="AF46" s="9">
        <f t="shared" si="4"/>
        <v>35.456554015069472</v>
      </c>
      <c r="AG46" s="9">
        <f t="shared" si="5"/>
        <v>35.125790499719756</v>
      </c>
      <c r="AH46" s="9">
        <f t="shared" si="6"/>
        <v>15.907793716499935</v>
      </c>
      <c r="AI46" s="9">
        <f t="shared" si="7"/>
        <v>18.513087638203054</v>
      </c>
      <c r="AJ46" s="9">
        <f t="shared" si="8"/>
        <v>17.318217743142196</v>
      </c>
      <c r="AK46" s="9">
        <f t="shared" si="9"/>
        <v>18.95432448210093</v>
      </c>
      <c r="AL46" s="9">
        <f t="shared" si="10"/>
        <v>20.553806915285854</v>
      </c>
      <c r="AM46" s="9">
        <f t="shared" si="11"/>
        <v>20.27667018897958</v>
      </c>
      <c r="AN46" s="9">
        <f t="shared" si="12"/>
        <v>34.784465381822223</v>
      </c>
      <c r="AO46" s="9">
        <f t="shared" si="13"/>
        <v>17.246366365948393</v>
      </c>
      <c r="AP46" s="9">
        <f t="shared" si="14"/>
        <v>19.928267195455454</v>
      </c>
      <c r="AQ46" s="9">
        <f t="shared" si="15"/>
        <v>37.330173173568262</v>
      </c>
      <c r="AR46" s="9">
        <f t="shared" si="16"/>
        <v>39.998770437643778</v>
      </c>
      <c r="AS46" s="9">
        <f t="shared" si="17"/>
        <v>39.163016023144692</v>
      </c>
      <c r="AT46" s="9">
        <f t="shared" si="18"/>
        <v>38.830653211452244</v>
      </c>
      <c r="AU46" s="9">
        <f t="shared" si="19"/>
        <v>25.222696669088034</v>
      </c>
      <c r="AV46" s="9">
        <f t="shared" si="20"/>
        <v>27.570611564913062</v>
      </c>
      <c r="AW46" s="9">
        <f t="shared" si="21"/>
        <v>26.244875893954731</v>
      </c>
      <c r="AX46" s="9">
        <f t="shared" si="22"/>
        <v>26.346061375985276</v>
      </c>
      <c r="AY46" s="11">
        <v>4.92</v>
      </c>
      <c r="AZ46" s="4">
        <v>11.4</v>
      </c>
      <c r="BA46" s="4">
        <v>3.64</v>
      </c>
      <c r="BB46" s="4"/>
      <c r="BC46" s="4"/>
      <c r="BD46" s="8" t="s">
        <v>19</v>
      </c>
      <c r="BE46" s="4">
        <v>6</v>
      </c>
      <c r="BF46" s="4">
        <v>2</v>
      </c>
      <c r="BG46" s="4">
        <v>2</v>
      </c>
      <c r="BH46" s="22"/>
    </row>
    <row r="47" spans="1:60" ht="13.2" x14ac:dyDescent="0.25">
      <c r="A47" s="20">
        <v>726</v>
      </c>
      <c r="B47" s="4"/>
      <c r="C47" s="4"/>
      <c r="D47" s="4">
        <v>3</v>
      </c>
      <c r="E47" s="4">
        <v>2</v>
      </c>
      <c r="F47" s="8" t="s">
        <v>17</v>
      </c>
      <c r="G47" s="8" t="s">
        <v>18</v>
      </c>
      <c r="H47" s="4">
        <v>34.8262</v>
      </c>
      <c r="I47" s="4">
        <v>64.430000000000007</v>
      </c>
      <c r="J47" s="4">
        <v>32.79</v>
      </c>
      <c r="K47" s="4">
        <v>38.06</v>
      </c>
      <c r="L47" s="4">
        <v>2</v>
      </c>
      <c r="M47" s="4">
        <v>5</v>
      </c>
      <c r="N47" s="4" t="s">
        <v>19</v>
      </c>
      <c r="O47" s="4" t="s">
        <v>28</v>
      </c>
      <c r="P47" s="4">
        <v>4</v>
      </c>
      <c r="Q47" s="4" t="s">
        <v>19</v>
      </c>
      <c r="R47" s="4" t="s">
        <v>20</v>
      </c>
      <c r="S47" s="4">
        <v>14.36</v>
      </c>
      <c r="T47" s="4">
        <v>13.44</v>
      </c>
      <c r="U47" s="4">
        <v>13.57</v>
      </c>
      <c r="V47" s="17">
        <f t="shared" si="0"/>
        <v>13.79</v>
      </c>
      <c r="W47" s="4">
        <v>10.02</v>
      </c>
      <c r="X47" s="4">
        <v>9.1</v>
      </c>
      <c r="Y47" s="4">
        <v>9.23</v>
      </c>
      <c r="Z47" s="17">
        <f t="shared" si="1"/>
        <v>9.4499999999999993</v>
      </c>
      <c r="AA47" s="4">
        <v>6.5</v>
      </c>
      <c r="AB47" s="4">
        <v>6.37</v>
      </c>
      <c r="AC47" s="4">
        <v>6.32</v>
      </c>
      <c r="AD47" s="17">
        <f t="shared" si="2"/>
        <v>6.3966666666666674</v>
      </c>
      <c r="AE47" s="8">
        <f t="shared" si="3"/>
        <v>33.085619325995516</v>
      </c>
      <c r="AF47" s="9">
        <f t="shared" si="4"/>
        <v>34.295211653023792</v>
      </c>
      <c r="AG47" s="9">
        <f t="shared" si="5"/>
        <v>34.11484081194974</v>
      </c>
      <c r="AH47" s="9">
        <f t="shared" si="6"/>
        <v>16.390351420504029</v>
      </c>
      <c r="AI47" s="9">
        <f t="shared" si="7"/>
        <v>13.885550605971675</v>
      </c>
      <c r="AJ47" s="9">
        <f t="shared" si="8"/>
        <v>14.497614858828372</v>
      </c>
      <c r="AK47" s="9">
        <f t="shared" si="9"/>
        <v>20.719084955919037</v>
      </c>
      <c r="AL47" s="9">
        <f t="shared" si="10"/>
        <v>18.99279925927619</v>
      </c>
      <c r="AM47" s="9">
        <f t="shared" si="11"/>
        <v>19.241861471834888</v>
      </c>
      <c r="AN47" s="9">
        <f t="shared" si="12"/>
        <v>33.831890596989687</v>
      </c>
      <c r="AO47" s="9">
        <f t="shared" si="13"/>
        <v>14.924505628434693</v>
      </c>
      <c r="AP47" s="9">
        <f t="shared" si="14"/>
        <v>19.651248562343373</v>
      </c>
      <c r="AQ47" s="9">
        <f t="shared" si="15"/>
        <v>36.922917353214473</v>
      </c>
      <c r="AR47" s="9">
        <f t="shared" si="16"/>
        <v>36.999595375580789</v>
      </c>
      <c r="AS47" s="9">
        <f t="shared" si="17"/>
        <v>37.067549153128439</v>
      </c>
      <c r="AT47" s="9">
        <f t="shared" si="18"/>
        <v>36.996687293974567</v>
      </c>
      <c r="AU47" s="9">
        <f t="shared" si="19"/>
        <v>26.353447352001126</v>
      </c>
      <c r="AV47" s="9">
        <f t="shared" si="20"/>
        <v>22.042191723533271</v>
      </c>
      <c r="AW47" s="9">
        <f t="shared" si="21"/>
        <v>23.023795616773338</v>
      </c>
      <c r="AX47" s="9">
        <f t="shared" si="22"/>
        <v>23.806478230769244</v>
      </c>
      <c r="AY47" s="11">
        <v>4.92</v>
      </c>
      <c r="AZ47" s="4">
        <v>11</v>
      </c>
      <c r="BA47" s="4">
        <v>3.38</v>
      </c>
      <c r="BB47" s="4"/>
      <c r="BC47" s="4"/>
      <c r="BD47" s="8" t="s">
        <v>19</v>
      </c>
      <c r="BE47" s="4">
        <v>5</v>
      </c>
      <c r="BF47" s="4">
        <v>2</v>
      </c>
      <c r="BG47" s="4">
        <v>2</v>
      </c>
      <c r="BH47" s="22"/>
    </row>
    <row r="48" spans="1:60" ht="13.2" x14ac:dyDescent="0.25">
      <c r="A48" s="20">
        <v>726</v>
      </c>
      <c r="B48" s="4"/>
      <c r="C48" s="4"/>
      <c r="D48" s="4">
        <v>3</v>
      </c>
      <c r="E48" s="4">
        <v>3</v>
      </c>
      <c r="F48" s="8" t="s">
        <v>17</v>
      </c>
      <c r="G48" s="8" t="s">
        <v>18</v>
      </c>
      <c r="H48" s="4">
        <v>28.696300000000001</v>
      </c>
      <c r="I48" s="4">
        <v>64.34</v>
      </c>
      <c r="J48" s="4">
        <v>31.57</v>
      </c>
      <c r="K48" s="4">
        <v>32.56</v>
      </c>
      <c r="L48" s="4">
        <v>2</v>
      </c>
      <c r="M48" s="4">
        <v>5</v>
      </c>
      <c r="N48" s="4" t="s">
        <v>19</v>
      </c>
      <c r="O48" s="4" t="s">
        <v>30</v>
      </c>
      <c r="P48" s="4">
        <v>5</v>
      </c>
      <c r="Q48" s="4" t="s">
        <v>19</v>
      </c>
      <c r="R48" s="4" t="s">
        <v>20</v>
      </c>
      <c r="S48" s="4">
        <v>14.6</v>
      </c>
      <c r="T48" s="4">
        <v>12.4</v>
      </c>
      <c r="U48" s="4">
        <v>10.15</v>
      </c>
      <c r="V48" s="17">
        <f t="shared" si="0"/>
        <v>12.383333333333333</v>
      </c>
      <c r="W48" s="4">
        <v>10.050000000000001</v>
      </c>
      <c r="X48" s="4">
        <v>8.3800000000000008</v>
      </c>
      <c r="Y48" s="4">
        <v>7.33</v>
      </c>
      <c r="Z48" s="17">
        <f t="shared" si="1"/>
        <v>8.586666666666666</v>
      </c>
      <c r="AA48" s="4">
        <v>6.61</v>
      </c>
      <c r="AB48" s="4">
        <v>6.35</v>
      </c>
      <c r="AC48" s="4">
        <v>5.97</v>
      </c>
      <c r="AD48" s="17">
        <f t="shared" si="2"/>
        <v>6.31</v>
      </c>
      <c r="AE48" s="8">
        <f t="shared" si="3"/>
        <v>34.441324283643546</v>
      </c>
      <c r="AF48" s="9">
        <f t="shared" si="4"/>
        <v>33.078274305592849</v>
      </c>
      <c r="AG48" s="9">
        <f t="shared" si="5"/>
        <v>25.509883128075451</v>
      </c>
      <c r="AH48" s="9">
        <f t="shared" si="6"/>
        <v>16.089717772456915</v>
      </c>
      <c r="AI48" s="9">
        <f t="shared" si="7"/>
        <v>11.522569728503695</v>
      </c>
      <c r="AJ48" s="9">
        <f t="shared" si="8"/>
        <v>9.1830253372580604</v>
      </c>
      <c r="AK48" s="9">
        <f t="shared" si="9"/>
        <v>20.774012563221866</v>
      </c>
      <c r="AL48" s="9">
        <f t="shared" si="10"/>
        <v>17.579946396621899</v>
      </c>
      <c r="AM48" s="9">
        <f t="shared" si="11"/>
        <v>15.40580837997965</v>
      </c>
      <c r="AN48" s="9">
        <f t="shared" si="12"/>
        <v>31.009827239103952</v>
      </c>
      <c r="AO48" s="9">
        <f t="shared" si="13"/>
        <v>12.265104279406223</v>
      </c>
      <c r="AP48" s="9">
        <f t="shared" si="14"/>
        <v>17.919922446607803</v>
      </c>
      <c r="AQ48" s="9">
        <f t="shared" si="15"/>
        <v>38.01425833037402</v>
      </c>
      <c r="AR48" s="9">
        <f t="shared" si="16"/>
        <v>35.027729646442602</v>
      </c>
      <c r="AS48" s="9">
        <f t="shared" si="17"/>
        <v>27.112397377450634</v>
      </c>
      <c r="AT48" s="9">
        <f t="shared" si="18"/>
        <v>33.38479511808908</v>
      </c>
      <c r="AU48" s="9">
        <f t="shared" si="19"/>
        <v>25.040248617096253</v>
      </c>
      <c r="AV48" s="9">
        <f t="shared" si="20"/>
        <v>19.205400228174419</v>
      </c>
      <c r="AW48" s="9">
        <f t="shared" si="21"/>
        <v>19.797817382618796</v>
      </c>
      <c r="AX48" s="9">
        <f t="shared" si="22"/>
        <v>21.347822075963155</v>
      </c>
      <c r="AY48" s="11">
        <v>4.51</v>
      </c>
      <c r="AZ48" s="4">
        <v>10</v>
      </c>
      <c r="BA48" s="4">
        <v>3.48</v>
      </c>
      <c r="BB48" s="4"/>
      <c r="BC48" s="4"/>
      <c r="BD48" s="8" t="s">
        <v>19</v>
      </c>
      <c r="BE48" s="4">
        <v>7</v>
      </c>
      <c r="BF48" s="4">
        <v>2</v>
      </c>
      <c r="BG48" s="4">
        <v>2</v>
      </c>
      <c r="BH48" s="22"/>
    </row>
    <row r="49" spans="1:60" ht="13.2" x14ac:dyDescent="0.25">
      <c r="A49" s="20">
        <v>726</v>
      </c>
      <c r="B49" s="4"/>
      <c r="C49" s="4"/>
      <c r="D49" s="4">
        <v>3</v>
      </c>
      <c r="E49" s="4">
        <v>4</v>
      </c>
      <c r="F49" s="8" t="s">
        <v>17</v>
      </c>
      <c r="G49" s="8" t="s">
        <v>18</v>
      </c>
      <c r="H49" s="4">
        <v>29.824400000000001</v>
      </c>
      <c r="I49" s="4">
        <v>65.63</v>
      </c>
      <c r="J49" s="4">
        <v>32.049999999999997</v>
      </c>
      <c r="K49" s="4">
        <v>37.119999999999997</v>
      </c>
      <c r="L49" s="4">
        <v>4</v>
      </c>
      <c r="M49" s="4">
        <v>6</v>
      </c>
      <c r="N49" s="4" t="s">
        <v>19</v>
      </c>
      <c r="O49" s="4" t="s">
        <v>28</v>
      </c>
      <c r="P49" s="4">
        <v>5</v>
      </c>
      <c r="Q49" s="4" t="s">
        <v>19</v>
      </c>
      <c r="R49" s="4" t="s">
        <v>20</v>
      </c>
      <c r="S49" s="4">
        <v>10.97</v>
      </c>
      <c r="T49" s="4">
        <v>12.82</v>
      </c>
      <c r="U49" s="4">
        <v>12.75</v>
      </c>
      <c r="V49" s="17">
        <f t="shared" si="0"/>
        <v>12.18</v>
      </c>
      <c r="W49" s="4">
        <v>7.48</v>
      </c>
      <c r="X49" s="4">
        <v>8.6199999999999992</v>
      </c>
      <c r="Y49" s="4">
        <v>8.6199999999999992</v>
      </c>
      <c r="Z49" s="17">
        <f t="shared" si="1"/>
        <v>8.24</v>
      </c>
      <c r="AA49" s="4">
        <v>5.95</v>
      </c>
      <c r="AB49" s="4">
        <v>6.1</v>
      </c>
      <c r="AC49" s="4">
        <v>5.86</v>
      </c>
      <c r="AD49" s="17">
        <f t="shared" si="2"/>
        <v>5.97</v>
      </c>
      <c r="AE49" s="8">
        <f t="shared" si="3"/>
        <v>30.504190348130262</v>
      </c>
      <c r="AF49" s="9">
        <f t="shared" si="4"/>
        <v>34.006620650080201</v>
      </c>
      <c r="AG49" s="9">
        <f t="shared" si="5"/>
        <v>33.512325398948271</v>
      </c>
      <c r="AH49" s="9">
        <f t="shared" si="6"/>
        <v>9.8096384898309186</v>
      </c>
      <c r="AI49" s="9">
        <f t="shared" si="7"/>
        <v>13.267821593684626</v>
      </c>
      <c r="AJ49" s="9">
        <f t="shared" si="8"/>
        <v>14.170928531226274</v>
      </c>
      <c r="AK49" s="9">
        <f t="shared" si="9"/>
        <v>15.725522848331433</v>
      </c>
      <c r="AL49" s="9">
        <f t="shared" si="10"/>
        <v>18.057410353695424</v>
      </c>
      <c r="AM49" s="9">
        <f t="shared" si="11"/>
        <v>18.057410353695424</v>
      </c>
      <c r="AN49" s="9">
        <f t="shared" si="12"/>
        <v>32.67437879905291</v>
      </c>
      <c r="AO49" s="9">
        <f t="shared" si="13"/>
        <v>12.416129538247274</v>
      </c>
      <c r="AP49" s="9">
        <f t="shared" si="14"/>
        <v>17.280114518574091</v>
      </c>
      <c r="AQ49" s="9">
        <f t="shared" si="15"/>
        <v>32.04270019982922</v>
      </c>
      <c r="AR49" s="9">
        <f t="shared" si="16"/>
        <v>36.503223664223214</v>
      </c>
      <c r="AS49" s="9">
        <f t="shared" si="17"/>
        <v>36.38531529452667</v>
      </c>
      <c r="AT49" s="9">
        <f t="shared" si="18"/>
        <v>34.977079719526365</v>
      </c>
      <c r="AU49" s="9">
        <f t="shared" si="19"/>
        <v>17.826924186119125</v>
      </c>
      <c r="AV49" s="9">
        <f t="shared" si="20"/>
        <v>21.313445571097937</v>
      </c>
      <c r="AW49" s="9">
        <f t="shared" si="21"/>
        <v>22.921422324417996</v>
      </c>
      <c r="AX49" s="9">
        <f t="shared" si="22"/>
        <v>20.687264027211686</v>
      </c>
      <c r="AY49" s="11">
        <v>4.88</v>
      </c>
      <c r="AZ49" s="4">
        <v>11.4</v>
      </c>
      <c r="BA49" s="4">
        <v>3.48</v>
      </c>
      <c r="BB49" s="4"/>
      <c r="BC49" s="4"/>
      <c r="BD49" s="8" t="s">
        <v>19</v>
      </c>
      <c r="BE49" s="4">
        <v>6</v>
      </c>
      <c r="BF49" s="4">
        <v>2</v>
      </c>
      <c r="BG49" s="4">
        <v>2</v>
      </c>
      <c r="BH49" s="22"/>
    </row>
    <row r="50" spans="1:60" ht="13.2" x14ac:dyDescent="0.25">
      <c r="A50" s="20" t="s">
        <v>24</v>
      </c>
      <c r="B50" s="4"/>
      <c r="C50" s="4"/>
      <c r="D50" s="4">
        <v>8</v>
      </c>
      <c r="E50" s="4">
        <v>1</v>
      </c>
      <c r="F50" s="8" t="s">
        <v>17</v>
      </c>
      <c r="G50" s="8" t="s">
        <v>18</v>
      </c>
      <c r="H50" s="4">
        <v>43.376300000000001</v>
      </c>
      <c r="I50" s="4">
        <v>73.31</v>
      </c>
      <c r="J50" s="4">
        <v>36.75</v>
      </c>
      <c r="K50" s="4">
        <v>40.97</v>
      </c>
      <c r="L50" s="4">
        <v>4</v>
      </c>
      <c r="M50" s="4">
        <v>5</v>
      </c>
      <c r="N50" s="4" t="s">
        <v>19</v>
      </c>
      <c r="O50" s="4" t="s">
        <v>27</v>
      </c>
      <c r="P50" s="4">
        <v>5</v>
      </c>
      <c r="Q50" s="4" t="s">
        <v>19</v>
      </c>
      <c r="R50" s="4" t="s">
        <v>19</v>
      </c>
      <c r="S50" s="4">
        <v>12.61</v>
      </c>
      <c r="T50" s="4">
        <v>16.149999999999999</v>
      </c>
      <c r="U50" s="4">
        <v>16</v>
      </c>
      <c r="V50" s="17">
        <f t="shared" si="0"/>
        <v>14.92</v>
      </c>
      <c r="W50" s="4">
        <v>8.67</v>
      </c>
      <c r="X50" s="4">
        <v>11.13</v>
      </c>
      <c r="Y50" s="4">
        <v>10.93</v>
      </c>
      <c r="Z50" s="17">
        <f t="shared" si="1"/>
        <v>10.243333333333334</v>
      </c>
      <c r="AA50" s="4">
        <v>6.19</v>
      </c>
      <c r="AB50" s="4">
        <v>6.78</v>
      </c>
      <c r="AC50" s="4">
        <v>6.63</v>
      </c>
      <c r="AD50" s="17">
        <f t="shared" si="2"/>
        <v>6.5333333333333341</v>
      </c>
      <c r="AE50" s="8">
        <f t="shared" si="3"/>
        <v>32.094511260417484</v>
      </c>
      <c r="AF50" s="9">
        <f t="shared" si="4"/>
        <v>36.125633657199813</v>
      </c>
      <c r="AG50" s="9">
        <f t="shared" si="5"/>
        <v>36.686538263528831</v>
      </c>
      <c r="AH50" s="9">
        <f t="shared" si="6"/>
        <v>13.103803207979054</v>
      </c>
      <c r="AI50" s="9">
        <f t="shared" si="7"/>
        <v>18.804997610613011</v>
      </c>
      <c r="AJ50" s="9">
        <f t="shared" si="8"/>
        <v>18.735823867718537</v>
      </c>
      <c r="AK50" s="9">
        <f t="shared" si="9"/>
        <v>18.156041925258258</v>
      </c>
      <c r="AL50" s="9">
        <f t="shared" si="10"/>
        <v>22.699519376860486</v>
      </c>
      <c r="AM50" s="9">
        <f t="shared" si="11"/>
        <v>22.350238591174374</v>
      </c>
      <c r="AN50" s="9">
        <f t="shared" si="12"/>
        <v>34.968894393715374</v>
      </c>
      <c r="AO50" s="9">
        <f t="shared" si="13"/>
        <v>16.881541562103532</v>
      </c>
      <c r="AP50" s="9">
        <f t="shared" si="14"/>
        <v>21.068599964431041</v>
      </c>
      <c r="AQ50" s="9">
        <f t="shared" si="15"/>
        <v>34.666515711252359</v>
      </c>
      <c r="AR50" s="9">
        <f t="shared" si="16"/>
        <v>40.727009984399409</v>
      </c>
      <c r="AS50" s="9">
        <f t="shared" si="17"/>
        <v>41.193848882612762</v>
      </c>
      <c r="AT50" s="9">
        <f t="shared" si="18"/>
        <v>38.862458192754843</v>
      </c>
      <c r="AU50" s="9">
        <f t="shared" si="19"/>
        <v>22.209603506823978</v>
      </c>
      <c r="AV50" s="9">
        <f t="shared" si="20"/>
        <v>27.498980551310122</v>
      </c>
      <c r="AW50" s="9">
        <f t="shared" si="21"/>
        <v>27.053411907117251</v>
      </c>
      <c r="AX50" s="9">
        <f t="shared" si="22"/>
        <v>25.587331988417116</v>
      </c>
      <c r="AY50" s="11">
        <v>5.48</v>
      </c>
      <c r="AZ50" s="4">
        <v>11.8</v>
      </c>
      <c r="BA50" s="4">
        <v>3.29</v>
      </c>
      <c r="BB50" s="4"/>
      <c r="BC50" s="4"/>
      <c r="BD50" s="8" t="s">
        <v>19</v>
      </c>
      <c r="BE50" s="4">
        <v>4</v>
      </c>
      <c r="BF50" s="4">
        <v>2</v>
      </c>
      <c r="BG50" s="4">
        <v>2</v>
      </c>
      <c r="BH50" s="22"/>
    </row>
    <row r="51" spans="1:60" ht="13.2" x14ac:dyDescent="0.25">
      <c r="A51" s="20" t="s">
        <v>24</v>
      </c>
      <c r="B51" s="4"/>
      <c r="C51" s="4"/>
      <c r="D51" s="4">
        <v>8</v>
      </c>
      <c r="E51" s="4">
        <v>2</v>
      </c>
      <c r="F51" s="8" t="s">
        <v>17</v>
      </c>
      <c r="G51" s="8" t="s">
        <v>18</v>
      </c>
      <c r="H51" s="4">
        <v>46.076500000000003</v>
      </c>
      <c r="I51" s="4">
        <v>72.31</v>
      </c>
      <c r="J51" s="4">
        <v>38.28</v>
      </c>
      <c r="K51" s="4">
        <v>40.29</v>
      </c>
      <c r="L51" s="4">
        <v>2</v>
      </c>
      <c r="M51" s="4">
        <v>5</v>
      </c>
      <c r="N51" s="4" t="s">
        <v>19</v>
      </c>
      <c r="O51" s="4" t="s">
        <v>28</v>
      </c>
      <c r="P51" s="4">
        <v>8</v>
      </c>
      <c r="Q51" s="4" t="s">
        <v>19</v>
      </c>
      <c r="R51" s="4" t="s">
        <v>20</v>
      </c>
      <c r="S51" s="4">
        <v>16.100000000000001</v>
      </c>
      <c r="T51" s="4">
        <v>14.98</v>
      </c>
      <c r="U51" s="4">
        <v>15.07</v>
      </c>
      <c r="V51" s="17">
        <f t="shared" si="0"/>
        <v>15.383333333333335</v>
      </c>
      <c r="W51" s="4">
        <v>11.04</v>
      </c>
      <c r="X51" s="4">
        <v>10.36</v>
      </c>
      <c r="Y51" s="4">
        <v>10.37</v>
      </c>
      <c r="Z51" s="17">
        <f t="shared" si="1"/>
        <v>10.589999999999998</v>
      </c>
      <c r="AA51" s="4">
        <v>7.15</v>
      </c>
      <c r="AB51" s="4">
        <v>6.44</v>
      </c>
      <c r="AC51" s="4">
        <v>6.54</v>
      </c>
      <c r="AD51" s="17">
        <f t="shared" si="2"/>
        <v>6.71</v>
      </c>
      <c r="AE51" s="8">
        <f t="shared" si="3"/>
        <v>36.487046881410137</v>
      </c>
      <c r="AF51" s="9">
        <f t="shared" si="4"/>
        <v>34.510093445429021</v>
      </c>
      <c r="AG51" s="9">
        <f t="shared" si="5"/>
        <v>35.018679157690549</v>
      </c>
      <c r="AH51" s="9">
        <f t="shared" si="6"/>
        <v>17.244541327995389</v>
      </c>
      <c r="AI51" s="9">
        <f t="shared" si="7"/>
        <v>17.67254058963465</v>
      </c>
      <c r="AJ51" s="9">
        <f t="shared" si="8"/>
        <v>17.342410069651766</v>
      </c>
      <c r="AK51" s="9">
        <f t="shared" si="9"/>
        <v>22.542734723939866</v>
      </c>
      <c r="AL51" s="9">
        <f t="shared" si="10"/>
        <v>21.336866499480109</v>
      </c>
      <c r="AM51" s="9">
        <f t="shared" si="11"/>
        <v>21.354881876402715</v>
      </c>
      <c r="AN51" s="9">
        <f t="shared" si="12"/>
        <v>35.338606494843241</v>
      </c>
      <c r="AO51" s="9">
        <f t="shared" si="13"/>
        <v>17.41983066242727</v>
      </c>
      <c r="AP51" s="9">
        <f t="shared" si="14"/>
        <v>21.744827699940895</v>
      </c>
      <c r="AQ51" s="9">
        <f t="shared" si="15"/>
        <v>40.35689279093674</v>
      </c>
      <c r="AR51" s="9">
        <f t="shared" si="16"/>
        <v>38.771964620128905</v>
      </c>
      <c r="AS51" s="9">
        <f t="shared" si="17"/>
        <v>39.07770562575584</v>
      </c>
      <c r="AT51" s="9">
        <f t="shared" si="18"/>
        <v>39.402187678940493</v>
      </c>
      <c r="AU51" s="9">
        <f t="shared" si="19"/>
        <v>25.296397435054889</v>
      </c>
      <c r="AV51" s="9">
        <f t="shared" si="20"/>
        <v>27.116882861217409</v>
      </c>
      <c r="AW51" s="9">
        <f t="shared" si="21"/>
        <v>26.34613757753867</v>
      </c>
      <c r="AX51" s="9">
        <f t="shared" si="22"/>
        <v>26.253139291270326</v>
      </c>
      <c r="AY51" s="11">
        <v>5.59</v>
      </c>
      <c r="AZ51" s="4">
        <v>12</v>
      </c>
      <c r="BA51" s="4">
        <v>3.33</v>
      </c>
      <c r="BB51" s="4"/>
      <c r="BC51" s="4"/>
      <c r="BD51" s="8" t="s">
        <v>19</v>
      </c>
      <c r="BE51" s="4">
        <v>4</v>
      </c>
      <c r="BF51" s="4">
        <v>2</v>
      </c>
      <c r="BG51" s="4">
        <v>2</v>
      </c>
      <c r="BH51" s="22"/>
    </row>
    <row r="52" spans="1:60" ht="13.2" x14ac:dyDescent="0.25">
      <c r="A52" s="20" t="s">
        <v>24</v>
      </c>
      <c r="B52" s="4"/>
      <c r="C52" s="4"/>
      <c r="D52" s="4">
        <v>8</v>
      </c>
      <c r="E52" s="4">
        <v>3</v>
      </c>
      <c r="F52" s="8" t="s">
        <v>17</v>
      </c>
      <c r="G52" s="8" t="s">
        <v>18</v>
      </c>
      <c r="H52" s="4">
        <v>40.516800000000003</v>
      </c>
      <c r="I52" s="4">
        <v>73.88</v>
      </c>
      <c r="J52" s="4">
        <v>36.43</v>
      </c>
      <c r="K52" s="4">
        <v>40.130000000000003</v>
      </c>
      <c r="L52" s="4">
        <v>5</v>
      </c>
      <c r="M52" s="4">
        <v>6</v>
      </c>
      <c r="N52" s="4" t="s">
        <v>19</v>
      </c>
      <c r="O52" s="4" t="s">
        <v>28</v>
      </c>
      <c r="P52" s="4">
        <v>8</v>
      </c>
      <c r="Q52" s="4" t="s">
        <v>19</v>
      </c>
      <c r="R52" s="4" t="s">
        <v>20</v>
      </c>
      <c r="S52" s="4">
        <v>14.88</v>
      </c>
      <c r="T52" s="4">
        <v>13.79</v>
      </c>
      <c r="U52" s="4">
        <v>12.69</v>
      </c>
      <c r="V52" s="17">
        <f t="shared" si="0"/>
        <v>13.786666666666667</v>
      </c>
      <c r="W52" s="4">
        <v>9.8800000000000008</v>
      </c>
      <c r="X52" s="4">
        <v>9.35</v>
      </c>
      <c r="Y52" s="4">
        <v>8.58</v>
      </c>
      <c r="Z52" s="17">
        <f t="shared" si="1"/>
        <v>9.2700000000000014</v>
      </c>
      <c r="AA52" s="4">
        <v>6.35</v>
      </c>
      <c r="AB52" s="4">
        <v>6.51</v>
      </c>
      <c r="AC52" s="4">
        <v>6.4</v>
      </c>
      <c r="AD52" s="17">
        <f t="shared" si="2"/>
        <v>6.419999999999999</v>
      </c>
      <c r="AE52" s="8">
        <f t="shared" si="3"/>
        <v>37.629081349845109</v>
      </c>
      <c r="AF52" s="9">
        <f t="shared" si="4"/>
        <v>34.632400111783838</v>
      </c>
      <c r="AG52" s="9">
        <f t="shared" si="5"/>
        <v>33.428560117450047</v>
      </c>
      <c r="AH52" s="9">
        <f t="shared" si="6"/>
        <v>16.491045005990024</v>
      </c>
      <c r="AI52" s="9">
        <f t="shared" si="7"/>
        <v>14.20104644229499</v>
      </c>
      <c r="AJ52" s="9">
        <f t="shared" si="8"/>
        <v>12.027168109414921</v>
      </c>
      <c r="AK52" s="9">
        <f t="shared" si="9"/>
        <v>20.46166205756397</v>
      </c>
      <c r="AL52" s="9">
        <f t="shared" si="10"/>
        <v>19.470212855295919</v>
      </c>
      <c r="AM52" s="9">
        <f t="shared" si="11"/>
        <v>17.978298956834202</v>
      </c>
      <c r="AN52" s="9">
        <f t="shared" si="12"/>
        <v>35.230013859692995</v>
      </c>
      <c r="AO52" s="9">
        <f t="shared" si="13"/>
        <v>14.239753185899978</v>
      </c>
      <c r="AP52" s="9">
        <f t="shared" si="14"/>
        <v>19.30339128989803</v>
      </c>
      <c r="AQ52" s="9">
        <f t="shared" si="15"/>
        <v>41.084088509091316</v>
      </c>
      <c r="AR52" s="9">
        <f t="shared" si="16"/>
        <v>37.430907784328504</v>
      </c>
      <c r="AS52" s="9">
        <f t="shared" si="17"/>
        <v>35.526348028725089</v>
      </c>
      <c r="AT52" s="9">
        <f t="shared" si="18"/>
        <v>38.013781440714972</v>
      </c>
      <c r="AU52" s="9">
        <f t="shared" si="19"/>
        <v>23.665563823220381</v>
      </c>
      <c r="AV52" s="9">
        <f t="shared" si="20"/>
        <v>22.296125224595205</v>
      </c>
      <c r="AW52" s="9">
        <f t="shared" si="21"/>
        <v>19.788082039970426</v>
      </c>
      <c r="AX52" s="9">
        <f t="shared" si="22"/>
        <v>21.916590362595333</v>
      </c>
      <c r="AY52" s="11">
        <v>5.51</v>
      </c>
      <c r="AZ52" s="4">
        <v>10.4</v>
      </c>
      <c r="BA52" s="4">
        <v>3.42</v>
      </c>
      <c r="BB52" s="4"/>
      <c r="BC52" s="4"/>
      <c r="BD52" s="8" t="s">
        <v>19</v>
      </c>
      <c r="BE52" s="4">
        <v>3</v>
      </c>
      <c r="BF52" s="4">
        <v>2</v>
      </c>
      <c r="BG52" s="4">
        <v>2</v>
      </c>
      <c r="BH52" s="22"/>
    </row>
    <row r="53" spans="1:60" ht="13.2" x14ac:dyDescent="0.25">
      <c r="A53" s="20" t="s">
        <v>24</v>
      </c>
      <c r="B53" s="4"/>
      <c r="C53" s="4"/>
      <c r="D53" s="4">
        <v>13</v>
      </c>
      <c r="E53" s="4">
        <v>1</v>
      </c>
      <c r="F53" s="8" t="s">
        <v>17</v>
      </c>
      <c r="G53" s="8" t="s">
        <v>18</v>
      </c>
      <c r="H53" s="4">
        <v>44.1693</v>
      </c>
      <c r="I53" s="4">
        <v>68.849999999999994</v>
      </c>
      <c r="J53" s="4">
        <v>37.31</v>
      </c>
      <c r="K53" s="4">
        <v>36.700000000000003</v>
      </c>
      <c r="L53" s="4">
        <v>2</v>
      </c>
      <c r="M53" s="4">
        <v>5</v>
      </c>
      <c r="N53" s="4" t="s">
        <v>19</v>
      </c>
      <c r="O53" s="4" t="s">
        <v>30</v>
      </c>
      <c r="P53" s="4">
        <v>4</v>
      </c>
      <c r="Q53" s="4" t="s">
        <v>19</v>
      </c>
      <c r="R53" s="4" t="s">
        <v>20</v>
      </c>
      <c r="S53" s="4">
        <v>18.14</v>
      </c>
      <c r="T53" s="4">
        <v>16.260000000000002</v>
      </c>
      <c r="U53" s="4">
        <v>13.12</v>
      </c>
      <c r="V53" s="17">
        <f t="shared" si="0"/>
        <v>15.840000000000002</v>
      </c>
      <c r="W53" s="4">
        <v>12.67</v>
      </c>
      <c r="X53" s="4">
        <v>11.22</v>
      </c>
      <c r="Y53" s="4">
        <v>8.9</v>
      </c>
      <c r="Z53" s="17">
        <f t="shared" si="1"/>
        <v>10.93</v>
      </c>
      <c r="AA53" s="4">
        <v>6.58</v>
      </c>
      <c r="AB53" s="4">
        <v>6.63</v>
      </c>
      <c r="AC53" s="4">
        <v>5.98</v>
      </c>
      <c r="AD53" s="17">
        <f t="shared" si="2"/>
        <v>6.3966666666666674</v>
      </c>
      <c r="AE53" s="8">
        <f t="shared" si="3"/>
        <v>37.098828131700039</v>
      </c>
      <c r="AF53" s="9">
        <f t="shared" si="4"/>
        <v>36.142497957665718</v>
      </c>
      <c r="AG53" s="9">
        <f t="shared" si="5"/>
        <v>33.744743306150262</v>
      </c>
      <c r="AH53" s="9">
        <f t="shared" si="6"/>
        <v>23.983625435761464</v>
      </c>
      <c r="AI53" s="9">
        <f t="shared" si="7"/>
        <v>19.607259746229289</v>
      </c>
      <c r="AJ53" s="9">
        <f t="shared" si="8"/>
        <v>14.663172110073836</v>
      </c>
      <c r="AK53" s="9">
        <f t="shared" si="9"/>
        <v>25.290134414893835</v>
      </c>
      <c r="AL53" s="9">
        <f t="shared" si="10"/>
        <v>22.855671400710605</v>
      </c>
      <c r="AM53" s="9">
        <f t="shared" si="11"/>
        <v>18.606126625209008</v>
      </c>
      <c r="AN53" s="9">
        <f t="shared" si="12"/>
        <v>35.662023131838673</v>
      </c>
      <c r="AO53" s="9">
        <f t="shared" si="13"/>
        <v>19.418019097354865</v>
      </c>
      <c r="AP53" s="9">
        <f t="shared" si="14"/>
        <v>22.250644146937816</v>
      </c>
      <c r="AQ53" s="9">
        <f t="shared" si="15"/>
        <v>44.176207824895094</v>
      </c>
      <c r="AR53" s="9">
        <f t="shared" si="16"/>
        <v>41.11842401376753</v>
      </c>
      <c r="AS53" s="9">
        <f t="shared" si="17"/>
        <v>36.792884055583627</v>
      </c>
      <c r="AT53" s="9">
        <f t="shared" si="18"/>
        <v>40.69583863141542</v>
      </c>
      <c r="AU53" s="9">
        <f t="shared" si="19"/>
        <v>32.881832870711278</v>
      </c>
      <c r="AV53" s="9">
        <f t="shared" si="20"/>
        <v>28.479775540995917</v>
      </c>
      <c r="AW53" s="9">
        <f t="shared" si="21"/>
        <v>23.486490423721381</v>
      </c>
      <c r="AX53" s="9">
        <f t="shared" si="22"/>
        <v>28.282699611809523</v>
      </c>
      <c r="AY53" s="11">
        <v>5.22</v>
      </c>
      <c r="AZ53" s="4">
        <v>12.6</v>
      </c>
      <c r="BA53" s="4">
        <v>3.31</v>
      </c>
      <c r="BB53" s="4"/>
      <c r="BC53" s="4"/>
      <c r="BD53" s="8" t="s">
        <v>19</v>
      </c>
      <c r="BE53" s="4">
        <v>3</v>
      </c>
      <c r="BF53" s="4">
        <v>2</v>
      </c>
      <c r="BG53" s="4">
        <v>2</v>
      </c>
      <c r="BH53" s="22"/>
    </row>
    <row r="54" spans="1:60" ht="13.2" x14ac:dyDescent="0.25">
      <c r="A54" s="20" t="s">
        <v>24</v>
      </c>
      <c r="B54" s="4"/>
      <c r="C54" s="4"/>
      <c r="D54" s="4">
        <v>13</v>
      </c>
      <c r="E54" s="4">
        <v>2</v>
      </c>
      <c r="F54" s="8" t="s">
        <v>17</v>
      </c>
      <c r="G54" s="8" t="s">
        <v>18</v>
      </c>
      <c r="H54" s="4">
        <v>42.7</v>
      </c>
      <c r="I54" s="4">
        <v>64.23</v>
      </c>
      <c r="J54" s="4">
        <v>37.130000000000003</v>
      </c>
      <c r="K54" s="4">
        <v>33.67</v>
      </c>
      <c r="L54" s="4">
        <v>2</v>
      </c>
      <c r="M54" s="4">
        <v>5</v>
      </c>
      <c r="N54" s="4" t="s">
        <v>19</v>
      </c>
      <c r="O54" s="4" t="s">
        <v>30</v>
      </c>
      <c r="P54" s="4">
        <v>8</v>
      </c>
      <c r="Q54" s="4" t="s">
        <v>19</v>
      </c>
      <c r="R54" s="4" t="s">
        <v>20</v>
      </c>
      <c r="S54" s="4">
        <v>12.95</v>
      </c>
      <c r="T54" s="4">
        <v>12.76</v>
      </c>
      <c r="U54" s="4">
        <v>17.84</v>
      </c>
      <c r="V54" s="17">
        <f t="shared" si="0"/>
        <v>14.516666666666666</v>
      </c>
      <c r="W54" s="4">
        <v>8.83</v>
      </c>
      <c r="X54" s="4">
        <v>8.73</v>
      </c>
      <c r="Y54" s="4">
        <v>12.64</v>
      </c>
      <c r="Z54" s="17">
        <f t="shared" si="1"/>
        <v>10.066666666666668</v>
      </c>
      <c r="AA54" s="4">
        <v>6.35</v>
      </c>
      <c r="AB54" s="4">
        <v>6.35</v>
      </c>
      <c r="AC54" s="4">
        <v>7.33</v>
      </c>
      <c r="AD54" s="17">
        <f t="shared" si="2"/>
        <v>6.6766666666666667</v>
      </c>
      <c r="AE54" s="8">
        <f t="shared" si="3"/>
        <v>33.143633444684738</v>
      </c>
      <c r="AF54" s="9">
        <f t="shared" si="4"/>
        <v>32.649337466967438</v>
      </c>
      <c r="AG54" s="9">
        <f t="shared" si="5"/>
        <v>35.523795468088203</v>
      </c>
      <c r="AH54" s="9">
        <f t="shared" si="6"/>
        <v>13.05674225639768</v>
      </c>
      <c r="AI54" s="9">
        <f t="shared" si="7"/>
        <v>12.719257234759807</v>
      </c>
      <c r="AJ54" s="9">
        <f t="shared" si="8"/>
        <v>21.28154876006969</v>
      </c>
      <c r="AK54" s="9">
        <f t="shared" si="9"/>
        <v>18.469766462800415</v>
      </c>
      <c r="AL54" s="9">
        <f t="shared" si="10"/>
        <v>18.274025150250445</v>
      </c>
      <c r="AM54" s="9">
        <f t="shared" si="11"/>
        <v>25.241222096344337</v>
      </c>
      <c r="AN54" s="9">
        <f t="shared" si="12"/>
        <v>33.77225545991346</v>
      </c>
      <c r="AO54" s="9">
        <f t="shared" si="13"/>
        <v>15.685849417075724</v>
      </c>
      <c r="AP54" s="9">
        <f t="shared" si="14"/>
        <v>20.661671236465065</v>
      </c>
      <c r="AQ54" s="9">
        <f t="shared" si="15"/>
        <v>35.622730892867061</v>
      </c>
      <c r="AR54" s="9">
        <f t="shared" si="16"/>
        <v>35.039388431248533</v>
      </c>
      <c r="AS54" s="9">
        <f t="shared" si="17"/>
        <v>41.41067932412831</v>
      </c>
      <c r="AT54" s="9">
        <f t="shared" si="18"/>
        <v>37.357599549414637</v>
      </c>
      <c r="AU54" s="9">
        <f t="shared" si="19"/>
        <v>21.501672838359124</v>
      </c>
      <c r="AV54" s="9">
        <f t="shared" si="20"/>
        <v>21.284479469795986</v>
      </c>
      <c r="AW54" s="9">
        <f t="shared" si="21"/>
        <v>30.924926546103418</v>
      </c>
      <c r="AX54" s="9">
        <f t="shared" si="22"/>
        <v>24.570359618086176</v>
      </c>
      <c r="AY54" s="11">
        <v>5.41</v>
      </c>
      <c r="AZ54" s="4">
        <v>11.6</v>
      </c>
      <c r="BA54" s="4">
        <v>3.3</v>
      </c>
      <c r="BB54" s="4"/>
      <c r="BC54" s="4"/>
      <c r="BD54" s="8" t="s">
        <v>19</v>
      </c>
      <c r="BE54" s="4">
        <v>4</v>
      </c>
      <c r="BF54" s="4">
        <v>2</v>
      </c>
      <c r="BG54" s="4">
        <v>2</v>
      </c>
      <c r="BH54" s="22"/>
    </row>
    <row r="55" spans="1:60" ht="13.2" x14ac:dyDescent="0.25">
      <c r="A55" s="20" t="s">
        <v>24</v>
      </c>
      <c r="B55" s="4"/>
      <c r="C55" s="4"/>
      <c r="D55" s="4">
        <v>13</v>
      </c>
      <c r="E55" s="4">
        <v>3</v>
      </c>
      <c r="F55" s="8" t="s">
        <v>17</v>
      </c>
      <c r="G55" s="8" t="s">
        <v>18</v>
      </c>
      <c r="H55" s="4">
        <v>42.717300000000002</v>
      </c>
      <c r="I55" s="4">
        <v>67.67</v>
      </c>
      <c r="J55" s="4">
        <v>36.11</v>
      </c>
      <c r="K55" s="4">
        <v>36.17</v>
      </c>
      <c r="L55" s="4">
        <v>5</v>
      </c>
      <c r="M55" s="4">
        <v>5</v>
      </c>
      <c r="N55" s="4" t="s">
        <v>19</v>
      </c>
      <c r="O55" s="4" t="s">
        <v>28</v>
      </c>
      <c r="P55" s="4">
        <v>4</v>
      </c>
      <c r="Q55" s="4" t="s">
        <v>19</v>
      </c>
      <c r="R55" s="4" t="s">
        <v>20</v>
      </c>
      <c r="S55" s="4">
        <v>17.16</v>
      </c>
      <c r="T55" s="4">
        <v>16.52</v>
      </c>
      <c r="U55" s="4">
        <v>12.92</v>
      </c>
      <c r="V55" s="17">
        <f t="shared" si="0"/>
        <v>15.533333333333333</v>
      </c>
      <c r="W55" s="4">
        <v>11.94</v>
      </c>
      <c r="X55" s="4">
        <v>11.35</v>
      </c>
      <c r="Y55" s="4">
        <v>8.8800000000000008</v>
      </c>
      <c r="Z55" s="17">
        <f t="shared" si="1"/>
        <v>10.723333333333334</v>
      </c>
      <c r="AA55" s="4">
        <v>6.93</v>
      </c>
      <c r="AB55" s="4">
        <v>6.82</v>
      </c>
      <c r="AC55" s="4">
        <v>6.25</v>
      </c>
      <c r="AD55" s="17">
        <f t="shared" si="2"/>
        <v>6.666666666666667</v>
      </c>
      <c r="AE55" s="8">
        <f t="shared" si="3"/>
        <v>36.411767253916565</v>
      </c>
      <c r="AF55" s="9">
        <f t="shared" si="4"/>
        <v>36.796567371887242</v>
      </c>
      <c r="AG55" s="9">
        <f t="shared" si="5"/>
        <v>32.512959990053965</v>
      </c>
      <c r="AH55" s="9">
        <f t="shared" si="6"/>
        <v>20.66312850587229</v>
      </c>
      <c r="AI55" s="9">
        <f t="shared" si="7"/>
        <v>19.320066371023927</v>
      </c>
      <c r="AJ55" s="9">
        <f t="shared" si="8"/>
        <v>13.591365889549678</v>
      </c>
      <c r="AK55" s="9">
        <f t="shared" si="9"/>
        <v>24.082993900156708</v>
      </c>
      <c r="AL55" s="9">
        <f t="shared" si="10"/>
        <v>23.080122824781391</v>
      </c>
      <c r="AM55" s="9">
        <f t="shared" si="11"/>
        <v>18.56722146774311</v>
      </c>
      <c r="AN55" s="9">
        <f t="shared" si="12"/>
        <v>35.240431538619255</v>
      </c>
      <c r="AO55" s="9">
        <f t="shared" si="13"/>
        <v>17.858186922148633</v>
      </c>
      <c r="AP55" s="9">
        <f t="shared" si="14"/>
        <v>21.91011273089374</v>
      </c>
      <c r="AQ55" s="9">
        <f t="shared" si="15"/>
        <v>41.86623549118768</v>
      </c>
      <c r="AR55" s="9">
        <f t="shared" si="16"/>
        <v>41.560225395618424</v>
      </c>
      <c r="AS55" s="9">
        <f t="shared" si="17"/>
        <v>35.239435211967631</v>
      </c>
      <c r="AT55" s="9">
        <f t="shared" si="18"/>
        <v>39.555298699591241</v>
      </c>
      <c r="AU55" s="9">
        <f t="shared" si="19"/>
        <v>29.574256567665433</v>
      </c>
      <c r="AV55" s="9">
        <f t="shared" si="20"/>
        <v>27.701753551899806</v>
      </c>
      <c r="AW55" s="9">
        <f t="shared" si="21"/>
        <v>22.686350584819699</v>
      </c>
      <c r="AX55" s="9">
        <f t="shared" si="22"/>
        <v>26.654120234794977</v>
      </c>
      <c r="AY55" s="11">
        <v>5.4</v>
      </c>
      <c r="AZ55" s="4">
        <v>11.6</v>
      </c>
      <c r="BA55" s="4">
        <v>3.34</v>
      </c>
      <c r="BB55" s="4"/>
      <c r="BC55" s="4"/>
      <c r="BD55" s="8" t="s">
        <v>19</v>
      </c>
      <c r="BE55" s="4">
        <v>3</v>
      </c>
      <c r="BF55" s="4">
        <v>2</v>
      </c>
      <c r="BG55" s="4">
        <v>2</v>
      </c>
      <c r="BH55" s="22"/>
    </row>
    <row r="56" spans="1:60" ht="13.2" x14ac:dyDescent="0.25">
      <c r="A56" s="20" t="s">
        <v>24</v>
      </c>
      <c r="B56" s="4"/>
      <c r="C56" s="4"/>
      <c r="D56" s="4">
        <v>18</v>
      </c>
      <c r="E56" s="4">
        <v>1</v>
      </c>
      <c r="F56" s="8" t="s">
        <v>17</v>
      </c>
      <c r="G56" s="8" t="s">
        <v>18</v>
      </c>
      <c r="H56" s="4">
        <v>39.086500000000001</v>
      </c>
      <c r="I56" s="4">
        <v>66.64</v>
      </c>
      <c r="J56" s="4">
        <v>33.729999999999997</v>
      </c>
      <c r="K56" s="4">
        <v>33.340000000000003</v>
      </c>
      <c r="L56" s="4">
        <v>3</v>
      </c>
      <c r="M56" s="4">
        <v>5</v>
      </c>
      <c r="N56" s="4" t="s">
        <v>19</v>
      </c>
      <c r="O56" s="4" t="s">
        <v>28</v>
      </c>
      <c r="P56" s="4">
        <v>4</v>
      </c>
      <c r="Q56" s="4" t="s">
        <v>19</v>
      </c>
      <c r="R56" s="4" t="s">
        <v>20</v>
      </c>
      <c r="S56" s="4">
        <v>19.100000000000001</v>
      </c>
      <c r="T56" s="4">
        <v>14.48</v>
      </c>
      <c r="U56" s="4">
        <v>14.45</v>
      </c>
      <c r="V56" s="17">
        <f t="shared" si="0"/>
        <v>16.010000000000002</v>
      </c>
      <c r="W56" s="4">
        <v>13.83</v>
      </c>
      <c r="X56" s="4">
        <v>10.37</v>
      </c>
      <c r="Y56" s="4">
        <v>10.050000000000001</v>
      </c>
      <c r="Z56" s="17">
        <f t="shared" si="1"/>
        <v>11.416666666666666</v>
      </c>
      <c r="AA56" s="4">
        <v>7.18</v>
      </c>
      <c r="AB56" s="4">
        <v>6.83</v>
      </c>
      <c r="AC56" s="4">
        <v>6.44</v>
      </c>
      <c r="AD56" s="17">
        <f t="shared" si="2"/>
        <v>6.8166666666666664</v>
      </c>
      <c r="AE56" s="8">
        <f t="shared" si="3"/>
        <v>34.747670616793371</v>
      </c>
      <c r="AF56" s="9">
        <f t="shared" si="4"/>
        <v>31.142995972219449</v>
      </c>
      <c r="AG56" s="9">
        <f t="shared" si="5"/>
        <v>33.447583775843256</v>
      </c>
      <c r="AH56" s="9">
        <f t="shared" si="6"/>
        <v>25.06583990356398</v>
      </c>
      <c r="AI56" s="9">
        <f t="shared" si="7"/>
        <v>16.310291712965828</v>
      </c>
      <c r="AJ56" s="9">
        <f t="shared" si="8"/>
        <v>16.702102768499756</v>
      </c>
      <c r="AK56" s="9">
        <f t="shared" si="9"/>
        <v>27.138901237745962</v>
      </c>
      <c r="AL56" s="9">
        <f t="shared" si="10"/>
        <v>21.354881876402715</v>
      </c>
      <c r="AM56" s="9">
        <f t="shared" si="11"/>
        <v>20.774012563221866</v>
      </c>
      <c r="AN56" s="9">
        <f t="shared" si="12"/>
        <v>33.112750121618696</v>
      </c>
      <c r="AO56" s="9">
        <f t="shared" si="13"/>
        <v>19.359411461676519</v>
      </c>
      <c r="AP56" s="9">
        <f t="shared" si="14"/>
        <v>23.089265225790182</v>
      </c>
      <c r="AQ56" s="9">
        <f t="shared" si="15"/>
        <v>42.845034057219117</v>
      </c>
      <c r="AR56" s="9">
        <f t="shared" si="16"/>
        <v>35.155537456960012</v>
      </c>
      <c r="AS56" s="9">
        <f t="shared" si="17"/>
        <v>37.385840866985724</v>
      </c>
      <c r="AT56" s="9">
        <f t="shared" si="18"/>
        <v>38.462137460388284</v>
      </c>
      <c r="AU56" s="9">
        <f t="shared" si="19"/>
        <v>35.80545506089635</v>
      </c>
      <c r="AV56" s="9">
        <f t="shared" si="20"/>
        <v>27.64206842802048</v>
      </c>
      <c r="AW56" s="9">
        <f t="shared" si="21"/>
        <v>26.535320663439542</v>
      </c>
      <c r="AX56" s="9">
        <f t="shared" si="22"/>
        <v>29.994281384118789</v>
      </c>
      <c r="AY56" s="11">
        <v>5.01</v>
      </c>
      <c r="AZ56" s="4">
        <v>10</v>
      </c>
      <c r="BA56" s="4">
        <v>3.4</v>
      </c>
      <c r="BB56" s="4"/>
      <c r="BC56" s="4"/>
      <c r="BD56" s="8" t="s">
        <v>19</v>
      </c>
      <c r="BE56" s="4">
        <v>4</v>
      </c>
      <c r="BF56" s="4">
        <v>2</v>
      </c>
      <c r="BG56" s="4">
        <v>2</v>
      </c>
      <c r="BH56" s="22"/>
    </row>
    <row r="57" spans="1:60" ht="13.2" x14ac:dyDescent="0.25">
      <c r="A57" s="20" t="s">
        <v>24</v>
      </c>
      <c r="B57" s="4"/>
      <c r="C57" s="4"/>
      <c r="D57" s="4">
        <v>18</v>
      </c>
      <c r="E57" s="4">
        <v>2</v>
      </c>
      <c r="F57" s="8" t="s">
        <v>17</v>
      </c>
      <c r="G57" s="8" t="s">
        <v>18</v>
      </c>
      <c r="H57" s="4">
        <v>25.704799999999999</v>
      </c>
      <c r="I57" s="4">
        <v>64.55</v>
      </c>
      <c r="J57" s="4">
        <v>30.58</v>
      </c>
      <c r="K57" s="4">
        <v>34.57</v>
      </c>
      <c r="L57" s="4">
        <v>4</v>
      </c>
      <c r="M57" s="4">
        <v>6</v>
      </c>
      <c r="N57" s="4" t="s">
        <v>19</v>
      </c>
      <c r="O57" s="4" t="s">
        <v>30</v>
      </c>
      <c r="P57" s="4">
        <v>4</v>
      </c>
      <c r="Q57" s="4" t="s">
        <v>19</v>
      </c>
      <c r="R57" s="4" t="s">
        <v>20</v>
      </c>
      <c r="S57" s="4">
        <v>18.86</v>
      </c>
      <c r="T57" s="4">
        <v>11.51</v>
      </c>
      <c r="U57" s="4">
        <v>11.15</v>
      </c>
      <c r="V57" s="17">
        <f t="shared" si="0"/>
        <v>13.839999999999998</v>
      </c>
      <c r="W57" s="4">
        <v>13.35</v>
      </c>
      <c r="X57" s="4">
        <v>8.1</v>
      </c>
      <c r="Y57" s="4">
        <v>7.74</v>
      </c>
      <c r="Z57" s="17">
        <f t="shared" si="1"/>
        <v>9.7299999999999986</v>
      </c>
      <c r="AA57" s="4">
        <v>7.17</v>
      </c>
      <c r="AB57" s="4">
        <v>5.98</v>
      </c>
      <c r="AC57" s="4">
        <v>5.98</v>
      </c>
      <c r="AD57" s="17">
        <f t="shared" si="2"/>
        <v>6.3766666666666678</v>
      </c>
      <c r="AE57" s="8">
        <f t="shared" si="3"/>
        <v>36.612026523775903</v>
      </c>
      <c r="AF57" s="9">
        <f t="shared" si="4"/>
        <v>29.016696271946333</v>
      </c>
      <c r="AG57" s="9">
        <f t="shared" si="5"/>
        <v>29.51444199639791</v>
      </c>
      <c r="AH57" s="9">
        <f t="shared" si="6"/>
        <v>23.798079104814235</v>
      </c>
      <c r="AI57" s="9">
        <f t="shared" si="7"/>
        <v>11.918434432399478</v>
      </c>
      <c r="AJ57" s="9">
        <f t="shared" si="8"/>
        <v>10.639147522342867</v>
      </c>
      <c r="AK57" s="9">
        <f t="shared" si="9"/>
        <v>26.383676102952656</v>
      </c>
      <c r="AL57" s="9">
        <f t="shared" si="10"/>
        <v>17.014178772157884</v>
      </c>
      <c r="AM57" s="9">
        <f t="shared" si="11"/>
        <v>16.272192364325051</v>
      </c>
      <c r="AN57" s="9">
        <f t="shared" si="12"/>
        <v>31.71438826404005</v>
      </c>
      <c r="AO57" s="9">
        <f t="shared" si="13"/>
        <v>15.451887019852194</v>
      </c>
      <c r="AP57" s="9">
        <f t="shared" si="14"/>
        <v>19.890015746478529</v>
      </c>
      <c r="AQ57" s="9">
        <f t="shared" si="15"/>
        <v>43.666795797913387</v>
      </c>
      <c r="AR57" s="9">
        <f t="shared" si="16"/>
        <v>31.369057076325863</v>
      </c>
      <c r="AS57" s="9">
        <f t="shared" si="17"/>
        <v>31.373456079318245</v>
      </c>
      <c r="AT57" s="9">
        <f t="shared" si="18"/>
        <v>35.469769651185835</v>
      </c>
      <c r="AU57" s="9">
        <f t="shared" si="19"/>
        <v>33.024155641405578</v>
      </c>
      <c r="AV57" s="9">
        <f t="shared" si="20"/>
        <v>22.330114039945851</v>
      </c>
      <c r="AW57" s="9">
        <f t="shared" si="21"/>
        <v>19.822843838563227</v>
      </c>
      <c r="AX57" s="9">
        <f t="shared" si="22"/>
        <v>25.059037839971552</v>
      </c>
      <c r="AY57" s="11">
        <v>6.23</v>
      </c>
      <c r="AZ57" s="4">
        <v>10</v>
      </c>
      <c r="BA57" s="4">
        <v>3.31</v>
      </c>
      <c r="BB57" s="4"/>
      <c r="BC57" s="4"/>
      <c r="BD57" s="8" t="s">
        <v>19</v>
      </c>
      <c r="BE57" s="4">
        <v>2</v>
      </c>
      <c r="BF57" s="4">
        <v>2</v>
      </c>
      <c r="BG57" s="4">
        <v>2</v>
      </c>
      <c r="BH57" s="22"/>
    </row>
    <row r="58" spans="1:60" ht="13.2" x14ac:dyDescent="0.25">
      <c r="A58" s="20" t="s">
        <v>24</v>
      </c>
      <c r="B58" s="4"/>
      <c r="C58" s="4"/>
      <c r="D58" s="4">
        <v>18</v>
      </c>
      <c r="E58" s="4">
        <v>3</v>
      </c>
      <c r="F58" s="8" t="s">
        <v>17</v>
      </c>
      <c r="G58" s="8" t="s">
        <v>18</v>
      </c>
      <c r="H58" s="4">
        <v>22.183199999999999</v>
      </c>
      <c r="I58" s="4">
        <v>56.8</v>
      </c>
      <c r="J58" s="4">
        <v>29.19</v>
      </c>
      <c r="K58" s="4">
        <v>33.9</v>
      </c>
      <c r="L58" s="4">
        <v>2</v>
      </c>
      <c r="M58" s="4">
        <v>5</v>
      </c>
      <c r="N58" s="4" t="s">
        <v>19</v>
      </c>
      <c r="O58" s="4" t="s">
        <v>28</v>
      </c>
      <c r="P58" s="4">
        <v>6</v>
      </c>
      <c r="Q58" s="4" t="s">
        <v>19</v>
      </c>
      <c r="R58" s="4" t="s">
        <v>20</v>
      </c>
      <c r="S58" s="4">
        <v>18.82</v>
      </c>
      <c r="T58" s="4">
        <v>14.46</v>
      </c>
      <c r="U58" s="4">
        <v>16.440000000000001</v>
      </c>
      <c r="V58" s="17">
        <f t="shared" si="0"/>
        <v>16.573333333333334</v>
      </c>
      <c r="W58" s="4">
        <v>13.56</v>
      </c>
      <c r="X58" s="4">
        <v>10.039999999999999</v>
      </c>
      <c r="Y58" s="4">
        <v>11.34</v>
      </c>
      <c r="Z58" s="17">
        <f t="shared" si="1"/>
        <v>11.646666666666667</v>
      </c>
      <c r="AA58" s="4">
        <v>7.1</v>
      </c>
      <c r="AB58" s="4">
        <v>6.28</v>
      </c>
      <c r="AC58" s="4">
        <v>6.65</v>
      </c>
      <c r="AD58" s="17">
        <f t="shared" si="2"/>
        <v>6.6766666666666667</v>
      </c>
      <c r="AE58" s="8">
        <f t="shared" si="3"/>
        <v>34.948079779384301</v>
      </c>
      <c r="AF58" s="9">
        <f t="shared" si="4"/>
        <v>33.592872802978789</v>
      </c>
      <c r="AG58" s="9">
        <f t="shared" si="5"/>
        <v>36.373224974599744</v>
      </c>
      <c r="AH58" s="9">
        <f t="shared" si="6"/>
        <v>24.611720354956695</v>
      </c>
      <c r="AI58" s="9">
        <f t="shared" si="7"/>
        <v>17.254340941160294</v>
      </c>
      <c r="AJ58" s="9">
        <f t="shared" si="8"/>
        <v>19.893138622680883</v>
      </c>
      <c r="AK58" s="9">
        <f t="shared" si="9"/>
        <v>26.715730123690967</v>
      </c>
      <c r="AL58" s="9">
        <f t="shared" si="10"/>
        <v>20.755712481191274</v>
      </c>
      <c r="AM58" s="9">
        <f t="shared" si="11"/>
        <v>23.062903117919944</v>
      </c>
      <c r="AN58" s="9">
        <f t="shared" si="12"/>
        <v>34.971392518987614</v>
      </c>
      <c r="AO58" s="9">
        <f t="shared" si="13"/>
        <v>20.586399972932625</v>
      </c>
      <c r="AP58" s="9">
        <f t="shared" si="14"/>
        <v>23.511448574267394</v>
      </c>
      <c r="AQ58" s="9">
        <f t="shared" si="15"/>
        <v>42.744649479166391</v>
      </c>
      <c r="AR58" s="9">
        <f t="shared" si="16"/>
        <v>37.764975631806152</v>
      </c>
      <c r="AS58" s="9">
        <f t="shared" si="17"/>
        <v>41.457791298066574</v>
      </c>
      <c r="AT58" s="9">
        <f t="shared" si="18"/>
        <v>40.655805469679706</v>
      </c>
      <c r="AU58" s="9">
        <f t="shared" si="19"/>
        <v>35.154612243381415</v>
      </c>
      <c r="AV58" s="9">
        <f t="shared" si="20"/>
        <v>27.186437771717635</v>
      </c>
      <c r="AW58" s="9">
        <f t="shared" si="21"/>
        <v>28.675003164499927</v>
      </c>
      <c r="AX58" s="9">
        <f t="shared" si="22"/>
        <v>30.338684393199657</v>
      </c>
      <c r="AY58" s="11">
        <v>4.87</v>
      </c>
      <c r="AZ58" s="4">
        <v>9.4</v>
      </c>
      <c r="BA58" s="4">
        <v>3.41</v>
      </c>
      <c r="BB58" s="4"/>
      <c r="BC58" s="4"/>
      <c r="BD58" s="8" t="s">
        <v>20</v>
      </c>
      <c r="BE58" s="4">
        <v>0</v>
      </c>
      <c r="BF58" s="4">
        <v>2</v>
      </c>
      <c r="BG58" s="4">
        <v>2</v>
      </c>
      <c r="BH58" s="22"/>
    </row>
    <row r="59" spans="1:60" ht="13.2" x14ac:dyDescent="0.25">
      <c r="A59" s="20" t="s">
        <v>24</v>
      </c>
      <c r="B59" s="4"/>
      <c r="C59" s="4"/>
      <c r="D59" s="4">
        <v>18</v>
      </c>
      <c r="E59" s="4">
        <v>4</v>
      </c>
      <c r="F59" s="8" t="s">
        <v>17</v>
      </c>
      <c r="G59" s="8" t="s">
        <v>18</v>
      </c>
      <c r="H59" s="4">
        <v>25.057700000000001</v>
      </c>
      <c r="I59" s="4">
        <v>59.72</v>
      </c>
      <c r="J59" s="4">
        <v>31.64</v>
      </c>
      <c r="K59" s="4">
        <v>32.26</v>
      </c>
      <c r="L59" s="4">
        <v>4</v>
      </c>
      <c r="M59" s="4">
        <v>5</v>
      </c>
      <c r="N59" s="4" t="s">
        <v>19</v>
      </c>
      <c r="O59" s="4" t="s">
        <v>30</v>
      </c>
      <c r="P59" s="4">
        <v>6</v>
      </c>
      <c r="Q59" s="4" t="s">
        <v>19</v>
      </c>
      <c r="R59" s="4" t="s">
        <v>20</v>
      </c>
      <c r="S59" s="4">
        <v>18.88</v>
      </c>
      <c r="T59" s="4">
        <v>15.94</v>
      </c>
      <c r="U59" s="4">
        <v>14.15</v>
      </c>
      <c r="V59" s="17">
        <f t="shared" si="0"/>
        <v>16.323333333333334</v>
      </c>
      <c r="W59" s="4">
        <v>13.48</v>
      </c>
      <c r="X59" s="4">
        <v>11.27</v>
      </c>
      <c r="Y59" s="4">
        <v>9.7899999999999991</v>
      </c>
      <c r="Z59" s="17">
        <f t="shared" si="1"/>
        <v>11.513333333333334</v>
      </c>
      <c r="AA59" s="4">
        <v>7.34</v>
      </c>
      <c r="AB59" s="4">
        <v>6.73</v>
      </c>
      <c r="AC59" s="4">
        <v>6.15</v>
      </c>
      <c r="AD59" s="17">
        <f t="shared" si="2"/>
        <v>6.7399999999999993</v>
      </c>
      <c r="AE59" s="8">
        <f t="shared" si="3"/>
        <v>35.840935259205672</v>
      </c>
      <c r="AF59" s="9">
        <f t="shared" si="4"/>
        <v>33.756101848876227</v>
      </c>
      <c r="AG59" s="9">
        <f t="shared" si="5"/>
        <v>33.508303503068717</v>
      </c>
      <c r="AH59" s="9">
        <f t="shared" si="6"/>
        <v>23.57225764599416</v>
      </c>
      <c r="AI59" s="9">
        <f t="shared" si="7"/>
        <v>19.40034656880874</v>
      </c>
      <c r="AJ59" s="9">
        <f t="shared" si="8"/>
        <v>16.940202040018569</v>
      </c>
      <c r="AK59" s="9">
        <f t="shared" si="9"/>
        <v>26.589538621591103</v>
      </c>
      <c r="AL59" s="9">
        <f t="shared" si="10"/>
        <v>22.942151969299282</v>
      </c>
      <c r="AM59" s="9">
        <f t="shared" si="11"/>
        <v>20.295211805415875</v>
      </c>
      <c r="AN59" s="9">
        <f t="shared" si="12"/>
        <v>34.368446870383544</v>
      </c>
      <c r="AO59" s="9">
        <f t="shared" si="13"/>
        <v>19.970935418273822</v>
      </c>
      <c r="AP59" s="9">
        <f t="shared" si="14"/>
        <v>23.275634132102084</v>
      </c>
      <c r="AQ59" s="9">
        <f t="shared" si="15"/>
        <v>42.897831772523219</v>
      </c>
      <c r="AR59" s="9">
        <f t="shared" si="16"/>
        <v>38.933890879561396</v>
      </c>
      <c r="AS59" s="9">
        <f t="shared" si="17"/>
        <v>37.546995203483547</v>
      </c>
      <c r="AT59" s="9">
        <f t="shared" si="18"/>
        <v>39.792905951856049</v>
      </c>
      <c r="AU59" s="9">
        <f t="shared" si="19"/>
        <v>33.33255631965276</v>
      </c>
      <c r="AV59" s="9">
        <f t="shared" si="20"/>
        <v>29.886894447857767</v>
      </c>
      <c r="AW59" s="9">
        <f t="shared" si="21"/>
        <v>26.818987138476594</v>
      </c>
      <c r="AX59" s="9">
        <f t="shared" si="22"/>
        <v>30.012812635329038</v>
      </c>
      <c r="AY59" s="11">
        <v>5.09</v>
      </c>
      <c r="AZ59" s="4">
        <v>9.5</v>
      </c>
      <c r="BA59" s="4">
        <v>3.42</v>
      </c>
      <c r="BB59" s="4"/>
      <c r="BC59" s="4"/>
      <c r="BD59" s="8" t="s">
        <v>19</v>
      </c>
      <c r="BE59" s="4">
        <v>1</v>
      </c>
      <c r="BF59" s="4">
        <v>2</v>
      </c>
      <c r="BG59" s="4">
        <v>2</v>
      </c>
      <c r="BH59" s="22"/>
    </row>
    <row r="60" spans="1:60" ht="13.2" x14ac:dyDescent="0.25">
      <c r="A60" s="20" t="s">
        <v>24</v>
      </c>
      <c r="B60" s="4"/>
      <c r="C60" s="4"/>
      <c r="D60" s="4">
        <v>6</v>
      </c>
      <c r="E60" s="4">
        <v>1</v>
      </c>
      <c r="F60" s="8" t="s">
        <v>17</v>
      </c>
      <c r="G60" s="8" t="s">
        <v>18</v>
      </c>
      <c r="H60" s="4">
        <v>31.511199999999999</v>
      </c>
      <c r="I60" s="4">
        <v>64.05</v>
      </c>
      <c r="J60" s="4">
        <v>32.700000000000003</v>
      </c>
      <c r="K60" s="4">
        <v>36.299999999999997</v>
      </c>
      <c r="L60" s="4">
        <v>4</v>
      </c>
      <c r="M60" s="4">
        <v>6</v>
      </c>
      <c r="N60" s="4" t="s">
        <v>19</v>
      </c>
      <c r="O60" s="4" t="s">
        <v>30</v>
      </c>
      <c r="P60" s="4">
        <v>8</v>
      </c>
      <c r="Q60" s="4" t="s">
        <v>19</v>
      </c>
      <c r="R60" s="4" t="s">
        <v>20</v>
      </c>
      <c r="S60" s="4">
        <v>11.72</v>
      </c>
      <c r="T60" s="4">
        <v>11.83</v>
      </c>
      <c r="U60" s="4">
        <v>14.9</v>
      </c>
      <c r="V60" s="17">
        <f t="shared" si="0"/>
        <v>12.816666666666668</v>
      </c>
      <c r="W60" s="4">
        <v>7.74</v>
      </c>
      <c r="X60" s="4">
        <v>8.01</v>
      </c>
      <c r="Y60" s="4">
        <v>10.06</v>
      </c>
      <c r="Z60" s="17">
        <f t="shared" si="1"/>
        <v>8.6033333333333335</v>
      </c>
      <c r="AA60" s="4">
        <v>5.92</v>
      </c>
      <c r="AB60" s="4">
        <v>6.03</v>
      </c>
      <c r="AC60" s="4">
        <v>6.79</v>
      </c>
      <c r="AD60" s="17">
        <f t="shared" si="2"/>
        <v>6.2466666666666661</v>
      </c>
      <c r="AE60" s="8">
        <f t="shared" si="3"/>
        <v>33.770708941859461</v>
      </c>
      <c r="AF60" s="9">
        <f t="shared" si="4"/>
        <v>32.174648089616177</v>
      </c>
      <c r="AG60" s="9">
        <f t="shared" si="5"/>
        <v>36.334766785778434</v>
      </c>
      <c r="AH60" s="9">
        <f t="shared" si="6"/>
        <v>10.865482050832737</v>
      </c>
      <c r="AI60" s="9">
        <f t="shared" si="7"/>
        <v>11.413577163745913</v>
      </c>
      <c r="AJ60" s="9">
        <f t="shared" si="8"/>
        <v>15.481369481460067</v>
      </c>
      <c r="AK60" s="9">
        <f t="shared" si="9"/>
        <v>16.272192364325051</v>
      </c>
      <c r="AL60" s="9">
        <f t="shared" si="10"/>
        <v>16.83025433955698</v>
      </c>
      <c r="AM60" s="9">
        <f t="shared" si="11"/>
        <v>20.792303542996599</v>
      </c>
      <c r="AN60" s="9">
        <f t="shared" si="12"/>
        <v>34.093374605751357</v>
      </c>
      <c r="AO60" s="9">
        <f t="shared" si="13"/>
        <v>12.586809565346238</v>
      </c>
      <c r="AP60" s="9">
        <f t="shared" si="14"/>
        <v>17.964916748959542</v>
      </c>
      <c r="AQ60" s="9">
        <f t="shared" si="15"/>
        <v>35.475618143067713</v>
      </c>
      <c r="AR60" s="9">
        <f t="shared" si="16"/>
        <v>34.139093768924567</v>
      </c>
      <c r="AS60" s="9">
        <f t="shared" si="17"/>
        <v>39.495418448199672</v>
      </c>
      <c r="AT60" s="9">
        <f t="shared" si="18"/>
        <v>36.370043453397322</v>
      </c>
      <c r="AU60" s="9">
        <f t="shared" si="19"/>
        <v>17.835204852143931</v>
      </c>
      <c r="AV60" s="9">
        <f t="shared" si="20"/>
        <v>19.53154065599152</v>
      </c>
      <c r="AW60" s="9">
        <f t="shared" si="21"/>
        <v>23.077686614416354</v>
      </c>
      <c r="AX60" s="9">
        <f t="shared" si="22"/>
        <v>20.1481440408506</v>
      </c>
      <c r="AY60" s="11">
        <v>5.1100000000000003</v>
      </c>
      <c r="AZ60" s="4">
        <v>11</v>
      </c>
      <c r="BA60" s="4">
        <v>3.61</v>
      </c>
      <c r="BB60" s="4"/>
      <c r="BC60" s="4"/>
      <c r="BD60" s="8" t="s">
        <v>19</v>
      </c>
      <c r="BE60" s="4">
        <v>1</v>
      </c>
      <c r="BF60" s="4">
        <v>2</v>
      </c>
      <c r="BG60" s="4">
        <v>2</v>
      </c>
      <c r="BH60" s="22"/>
    </row>
    <row r="61" spans="1:60" ht="13.2" x14ac:dyDescent="0.25">
      <c r="A61" s="20" t="s">
        <v>24</v>
      </c>
      <c r="B61" s="4"/>
      <c r="C61" s="4"/>
      <c r="D61" s="4">
        <v>6</v>
      </c>
      <c r="E61" s="4">
        <v>2</v>
      </c>
      <c r="F61" s="8" t="s">
        <v>17</v>
      </c>
      <c r="G61" s="8" t="s">
        <v>18</v>
      </c>
      <c r="H61" s="4">
        <v>33.725999999999999</v>
      </c>
      <c r="I61" s="4">
        <v>63.33</v>
      </c>
      <c r="J61" s="4">
        <v>33.92</v>
      </c>
      <c r="K61" s="4">
        <v>34.29</v>
      </c>
      <c r="L61" s="4">
        <v>4</v>
      </c>
      <c r="M61" s="4">
        <v>6</v>
      </c>
      <c r="N61" s="4" t="s">
        <v>19</v>
      </c>
      <c r="O61" s="4" t="s">
        <v>30</v>
      </c>
      <c r="P61" s="4">
        <v>8</v>
      </c>
      <c r="Q61" s="4" t="s">
        <v>19</v>
      </c>
      <c r="R61" s="4" t="s">
        <v>20</v>
      </c>
      <c r="S61" s="4">
        <v>13.34</v>
      </c>
      <c r="T61" s="4">
        <v>11.68</v>
      </c>
      <c r="U61" s="4">
        <v>10.31</v>
      </c>
      <c r="V61" s="17">
        <f t="shared" si="0"/>
        <v>11.776666666666666</v>
      </c>
      <c r="W61" s="4">
        <v>8.75</v>
      </c>
      <c r="X61" s="4">
        <v>7.73</v>
      </c>
      <c r="Y61" s="4">
        <v>6.93</v>
      </c>
      <c r="Z61" s="17">
        <f t="shared" si="1"/>
        <v>7.8033333333333337</v>
      </c>
      <c r="AA61" s="4">
        <v>6.02</v>
      </c>
      <c r="AB61" s="4">
        <v>5.97</v>
      </c>
      <c r="AC61" s="4">
        <v>5.95</v>
      </c>
      <c r="AD61" s="17">
        <f t="shared" si="2"/>
        <v>5.9799999999999995</v>
      </c>
      <c r="AE61" s="8">
        <f t="shared" si="3"/>
        <v>36.534248786380672</v>
      </c>
      <c r="AF61" s="9">
        <f t="shared" si="4"/>
        <v>33.565337976336288</v>
      </c>
      <c r="AG61" s="9">
        <f t="shared" si="5"/>
        <v>30.518340621233985</v>
      </c>
      <c r="AH61" s="9">
        <f t="shared" si="6"/>
        <v>14.007974985816757</v>
      </c>
      <c r="AI61" s="9">
        <f t="shared" si="7"/>
        <v>10.640834952365902</v>
      </c>
      <c r="AJ61" s="9">
        <f t="shared" si="8"/>
        <v>7.7602474894742812</v>
      </c>
      <c r="AK61" s="9">
        <f t="shared" si="9"/>
        <v>18.313262741977773</v>
      </c>
      <c r="AL61" s="9">
        <f t="shared" si="10"/>
        <v>16.251337956742198</v>
      </c>
      <c r="AM61" s="9">
        <f t="shared" si="11"/>
        <v>14.536876068124585</v>
      </c>
      <c r="AN61" s="9">
        <f t="shared" si="12"/>
        <v>33.53930912798365</v>
      </c>
      <c r="AO61" s="9">
        <f t="shared" si="13"/>
        <v>10.803019142552314</v>
      </c>
      <c r="AP61" s="9">
        <f t="shared" si="14"/>
        <v>16.367158922281519</v>
      </c>
      <c r="AQ61" s="9">
        <f t="shared" si="15"/>
        <v>39.127671762940686</v>
      </c>
      <c r="AR61" s="9">
        <f t="shared" si="16"/>
        <v>35.211635604572173</v>
      </c>
      <c r="AS61" s="9">
        <f t="shared" si="17"/>
        <v>31.489530885225207</v>
      </c>
      <c r="AT61" s="9">
        <f t="shared" si="18"/>
        <v>35.276279417579353</v>
      </c>
      <c r="AU61" s="9">
        <f t="shared" si="19"/>
        <v>20.977840948859622</v>
      </c>
      <c r="AV61" s="9">
        <f t="shared" si="20"/>
        <v>17.589581141813152</v>
      </c>
      <c r="AW61" s="9">
        <f t="shared" si="21"/>
        <v>14.266888209364064</v>
      </c>
      <c r="AX61" s="9">
        <f t="shared" si="22"/>
        <v>17.611436766678946</v>
      </c>
      <c r="AY61" s="11">
        <v>6.07</v>
      </c>
      <c r="AZ61" s="4">
        <v>10.199999999999999</v>
      </c>
      <c r="BA61" s="4">
        <v>3.53</v>
      </c>
      <c r="BB61" s="4"/>
      <c r="BC61" s="4"/>
      <c r="BD61" s="8" t="s">
        <v>19</v>
      </c>
      <c r="BE61" s="4">
        <v>2</v>
      </c>
      <c r="BF61" s="4">
        <v>2</v>
      </c>
      <c r="BG61" s="4">
        <v>2</v>
      </c>
      <c r="BH61" s="22"/>
    </row>
    <row r="62" spans="1:60" ht="13.2" x14ac:dyDescent="0.25">
      <c r="A62" s="20" t="s">
        <v>24</v>
      </c>
      <c r="B62" s="4"/>
      <c r="C62" s="4"/>
      <c r="D62" s="4">
        <v>6</v>
      </c>
      <c r="E62" s="4">
        <v>3</v>
      </c>
      <c r="F62" s="8" t="s">
        <v>17</v>
      </c>
      <c r="G62" s="8" t="s">
        <v>18</v>
      </c>
      <c r="H62" s="4">
        <v>42.785699999999999</v>
      </c>
      <c r="I62" s="4">
        <v>74.83</v>
      </c>
      <c r="J62" s="4">
        <v>35.47</v>
      </c>
      <c r="K62" s="4">
        <v>38.46</v>
      </c>
      <c r="L62" s="4">
        <v>4</v>
      </c>
      <c r="M62" s="4">
        <v>6</v>
      </c>
      <c r="N62" s="4" t="s">
        <v>19</v>
      </c>
      <c r="O62" s="4" t="s">
        <v>30</v>
      </c>
      <c r="P62" s="4">
        <v>5</v>
      </c>
      <c r="Q62" s="4" t="s">
        <v>19</v>
      </c>
      <c r="R62" s="4" t="s">
        <v>20</v>
      </c>
      <c r="S62" s="4">
        <v>12.91</v>
      </c>
      <c r="T62" s="4">
        <v>15.83</v>
      </c>
      <c r="U62" s="4">
        <v>13.82</v>
      </c>
      <c r="V62" s="17">
        <f t="shared" si="0"/>
        <v>14.186666666666667</v>
      </c>
      <c r="W62" s="4">
        <v>8.6300000000000008</v>
      </c>
      <c r="X62" s="4">
        <v>10.66</v>
      </c>
      <c r="Y62" s="4">
        <v>9.15</v>
      </c>
      <c r="Z62" s="17">
        <f t="shared" si="1"/>
        <v>9.4799999999999986</v>
      </c>
      <c r="AA62" s="4">
        <v>6.73</v>
      </c>
      <c r="AB62" s="4">
        <v>6.81</v>
      </c>
      <c r="AC62" s="4">
        <v>6.32</v>
      </c>
      <c r="AD62" s="17">
        <f t="shared" si="2"/>
        <v>6.62</v>
      </c>
      <c r="AE62" s="8">
        <f t="shared" si="3"/>
        <v>34.555038779687855</v>
      </c>
      <c r="AF62" s="9">
        <f t="shared" si="4"/>
        <v>37.66507995022647</v>
      </c>
      <c r="AG62" s="9">
        <f t="shared" si="5"/>
        <v>36.480278439763815</v>
      </c>
      <c r="AH62" s="9">
        <f t="shared" si="6"/>
        <v>11.012428528704193</v>
      </c>
      <c r="AI62" s="9">
        <f t="shared" si="7"/>
        <v>17.275102258920423</v>
      </c>
      <c r="AJ62" s="9">
        <f t="shared" si="8"/>
        <v>14.233718583991811</v>
      </c>
      <c r="AK62" s="9">
        <f t="shared" si="9"/>
        <v>18.077159506038647</v>
      </c>
      <c r="AL62" s="9">
        <f t="shared" si="10"/>
        <v>21.873600304169656</v>
      </c>
      <c r="AM62" s="9">
        <f t="shared" si="11"/>
        <v>19.088801632429686</v>
      </c>
      <c r="AN62" s="9">
        <f t="shared" si="12"/>
        <v>36.233465723226054</v>
      </c>
      <c r="AO62" s="9">
        <f t="shared" si="13"/>
        <v>14.173749790538809</v>
      </c>
      <c r="AP62" s="9">
        <f t="shared" si="14"/>
        <v>19.679853814212663</v>
      </c>
      <c r="AQ62" s="9">
        <f t="shared" si="15"/>
        <v>36.267399785007328</v>
      </c>
      <c r="AR62" s="9">
        <f t="shared" si="16"/>
        <v>41.437753386412126</v>
      </c>
      <c r="AS62" s="9">
        <f t="shared" si="17"/>
        <v>39.158772449745797</v>
      </c>
      <c r="AT62" s="9">
        <f t="shared" si="18"/>
        <v>38.954641873721748</v>
      </c>
      <c r="AU62" s="9">
        <f t="shared" si="19"/>
        <v>17.676685507379606</v>
      </c>
      <c r="AV62" s="9">
        <f t="shared" si="20"/>
        <v>24.638573655843931</v>
      </c>
      <c r="AW62" s="9">
        <f t="shared" si="21"/>
        <v>21.314521496236914</v>
      </c>
      <c r="AX62" s="9">
        <f t="shared" si="22"/>
        <v>21.209926886486816</v>
      </c>
      <c r="AY62" s="11">
        <v>5.49</v>
      </c>
      <c r="AZ62" s="4">
        <v>10</v>
      </c>
      <c r="BA62" s="4">
        <v>3.34</v>
      </c>
      <c r="BB62" s="4"/>
      <c r="BC62" s="4"/>
      <c r="BD62" s="8" t="s">
        <v>19</v>
      </c>
      <c r="BE62" s="4">
        <v>1</v>
      </c>
      <c r="BF62" s="4">
        <v>2</v>
      </c>
      <c r="BG62" s="4">
        <v>2</v>
      </c>
      <c r="BH62" s="22"/>
    </row>
    <row r="63" spans="1:60" ht="13.2" x14ac:dyDescent="0.25">
      <c r="A63" s="20" t="s">
        <v>24</v>
      </c>
      <c r="B63" s="4"/>
      <c r="C63" s="4"/>
      <c r="D63" s="4">
        <v>6</v>
      </c>
      <c r="E63" s="4">
        <v>4</v>
      </c>
      <c r="F63" s="8" t="s">
        <v>17</v>
      </c>
      <c r="G63" s="8" t="s">
        <v>18</v>
      </c>
      <c r="H63" s="4">
        <v>40.489800000000002</v>
      </c>
      <c r="I63" s="4">
        <v>67.98</v>
      </c>
      <c r="J63" s="4">
        <v>35.18</v>
      </c>
      <c r="K63" s="4">
        <v>35.520000000000003</v>
      </c>
      <c r="L63" s="4">
        <v>4</v>
      </c>
      <c r="M63" s="4">
        <v>6</v>
      </c>
      <c r="N63" s="4" t="s">
        <v>19</v>
      </c>
      <c r="O63" s="4" t="s">
        <v>30</v>
      </c>
      <c r="P63" s="4">
        <v>8</v>
      </c>
      <c r="Q63" s="4" t="s">
        <v>19</v>
      </c>
      <c r="R63" s="4" t="s">
        <v>20</v>
      </c>
      <c r="S63" s="4">
        <v>13.97</v>
      </c>
      <c r="T63" s="4">
        <v>12.47</v>
      </c>
      <c r="U63" s="4">
        <v>13.73</v>
      </c>
      <c r="V63" s="17">
        <f t="shared" si="0"/>
        <v>13.39</v>
      </c>
      <c r="W63" s="4">
        <v>9.35</v>
      </c>
      <c r="X63" s="4">
        <v>8.36</v>
      </c>
      <c r="Y63" s="4">
        <v>9.2100000000000009</v>
      </c>
      <c r="Z63" s="17">
        <f t="shared" si="1"/>
        <v>8.9733333333333345</v>
      </c>
      <c r="AA63" s="4">
        <v>6.05</v>
      </c>
      <c r="AB63" s="4">
        <v>6.42</v>
      </c>
      <c r="AC63" s="4">
        <v>6.38</v>
      </c>
      <c r="AD63" s="17">
        <f t="shared" si="2"/>
        <v>6.2833333333333323</v>
      </c>
      <c r="AE63" s="8">
        <f t="shared" si="3"/>
        <v>35.852283765643563</v>
      </c>
      <c r="AF63" s="9">
        <f t="shared" si="4"/>
        <v>33.752302931430087</v>
      </c>
      <c r="AG63" s="9">
        <f t="shared" si="5"/>
        <v>35.372944352415502</v>
      </c>
      <c r="AH63" s="9">
        <f t="shared" si="6"/>
        <v>15.89034934523777</v>
      </c>
      <c r="AI63" s="9">
        <f t="shared" si="7"/>
        <v>11.198536052116609</v>
      </c>
      <c r="AJ63" s="9">
        <f t="shared" si="8"/>
        <v>14.212658503591602</v>
      </c>
      <c r="AK63" s="9">
        <f t="shared" si="9"/>
        <v>19.470212855295919</v>
      </c>
      <c r="AL63" s="9">
        <f t="shared" si="10"/>
        <v>17.539850923938225</v>
      </c>
      <c r="AM63" s="9">
        <f t="shared" si="11"/>
        <v>19.203658900744969</v>
      </c>
      <c r="AN63" s="9">
        <f t="shared" si="12"/>
        <v>34.992510349829715</v>
      </c>
      <c r="AO63" s="9">
        <f t="shared" si="13"/>
        <v>13.767181300315327</v>
      </c>
      <c r="AP63" s="9">
        <f t="shared" si="14"/>
        <v>18.737907559993037</v>
      </c>
      <c r="AQ63" s="9">
        <f t="shared" si="15"/>
        <v>39.215933668930127</v>
      </c>
      <c r="AR63" s="9">
        <f t="shared" si="16"/>
        <v>35.561568622398809</v>
      </c>
      <c r="AS63" s="9">
        <f t="shared" si="17"/>
        <v>38.121448738194594</v>
      </c>
      <c r="AT63" s="9">
        <f t="shared" si="18"/>
        <v>37.632983676507848</v>
      </c>
      <c r="AU63" s="9">
        <f t="shared" si="19"/>
        <v>23.903745511104603</v>
      </c>
      <c r="AV63" s="9">
        <f t="shared" si="20"/>
        <v>18.355113262396262</v>
      </c>
      <c r="AW63" s="9">
        <f t="shared" si="21"/>
        <v>21.889995783628876</v>
      </c>
      <c r="AX63" s="9">
        <f t="shared" si="22"/>
        <v>21.382951519043246</v>
      </c>
      <c r="AY63" s="11">
        <v>6.44</v>
      </c>
      <c r="AZ63" s="4">
        <v>11</v>
      </c>
      <c r="BA63" s="4">
        <v>3.37</v>
      </c>
      <c r="BB63" s="4"/>
      <c r="BC63" s="4"/>
      <c r="BD63" s="8" t="s">
        <v>20</v>
      </c>
      <c r="BE63" s="4">
        <v>0</v>
      </c>
      <c r="BF63" s="4">
        <v>2</v>
      </c>
      <c r="BG63" s="4">
        <v>2</v>
      </c>
      <c r="BH63" s="22"/>
    </row>
    <row r="64" spans="1:60" ht="13.2" x14ac:dyDescent="0.25">
      <c r="A64" s="20" t="s">
        <v>24</v>
      </c>
      <c r="B64" s="4"/>
      <c r="C64" s="4"/>
      <c r="D64" s="4">
        <v>10</v>
      </c>
      <c r="E64" s="4">
        <v>1</v>
      </c>
      <c r="F64" s="8" t="s">
        <v>17</v>
      </c>
      <c r="G64" s="8" t="s">
        <v>18</v>
      </c>
      <c r="H64" s="4">
        <v>52.267099999999999</v>
      </c>
      <c r="I64" s="4">
        <v>70.150000000000006</v>
      </c>
      <c r="J64" s="4">
        <v>40.15</v>
      </c>
      <c r="K64" s="4">
        <v>36.92</v>
      </c>
      <c r="L64" s="4">
        <v>2</v>
      </c>
      <c r="M64" s="4">
        <v>5</v>
      </c>
      <c r="N64" s="4" t="s">
        <v>19</v>
      </c>
      <c r="O64" s="4" t="s">
        <v>28</v>
      </c>
      <c r="P64" s="4">
        <v>8</v>
      </c>
      <c r="Q64" s="4" t="s">
        <v>19</v>
      </c>
      <c r="R64" s="4" t="s">
        <v>20</v>
      </c>
      <c r="S64" s="4">
        <v>13.76</v>
      </c>
      <c r="T64" s="4">
        <v>13.49</v>
      </c>
      <c r="U64" s="4">
        <v>15.31</v>
      </c>
      <c r="V64" s="17">
        <f t="shared" si="0"/>
        <v>14.186666666666667</v>
      </c>
      <c r="W64" s="4">
        <v>9.1999999999999993</v>
      </c>
      <c r="X64" s="4">
        <v>8.99</v>
      </c>
      <c r="Y64" s="4">
        <v>10.53</v>
      </c>
      <c r="Z64" s="17">
        <f t="shared" si="1"/>
        <v>9.5733333333333324</v>
      </c>
      <c r="AA64" s="4">
        <v>5.62</v>
      </c>
      <c r="AB64" s="4">
        <v>5.74</v>
      </c>
      <c r="AC64" s="4">
        <v>6.06</v>
      </c>
      <c r="AD64" s="17">
        <f t="shared" si="2"/>
        <v>5.8066666666666658</v>
      </c>
      <c r="AE64" s="8">
        <f t="shared" si="3"/>
        <v>35.659653435307774</v>
      </c>
      <c r="AF64" s="9">
        <f t="shared" si="4"/>
        <v>35.553636610064856</v>
      </c>
      <c r="AG64" s="9">
        <f t="shared" si="5"/>
        <v>35.336092097223407</v>
      </c>
      <c r="AH64" s="9">
        <f t="shared" si="6"/>
        <v>17.036056910599239</v>
      </c>
      <c r="AI64" s="9">
        <f t="shared" si="7"/>
        <v>15.876402758316367</v>
      </c>
      <c r="AJ64" s="9">
        <f t="shared" si="8"/>
        <v>19.597339095527722</v>
      </c>
      <c r="AK64" s="9">
        <f t="shared" si="9"/>
        <v>19.184542060399195</v>
      </c>
      <c r="AL64" s="9">
        <f t="shared" si="10"/>
        <v>18.780661293310686</v>
      </c>
      <c r="AM64" s="9">
        <f t="shared" si="11"/>
        <v>21.641955315844051</v>
      </c>
      <c r="AN64" s="9">
        <f t="shared" si="12"/>
        <v>35.516460714198679</v>
      </c>
      <c r="AO64" s="9">
        <f t="shared" si="13"/>
        <v>17.503266254814442</v>
      </c>
      <c r="AP64" s="9">
        <f t="shared" si="14"/>
        <v>19.869052889851311</v>
      </c>
      <c r="AQ64" s="9">
        <f t="shared" si="15"/>
        <v>39.520097649011873</v>
      </c>
      <c r="AR64" s="9">
        <f t="shared" si="16"/>
        <v>38.937401566422217</v>
      </c>
      <c r="AS64" s="9">
        <f t="shared" si="17"/>
        <v>40.406622035608891</v>
      </c>
      <c r="AT64" s="9">
        <f t="shared" si="18"/>
        <v>39.621373750347665</v>
      </c>
      <c r="AU64" s="9">
        <f t="shared" si="19"/>
        <v>25.535690543416411</v>
      </c>
      <c r="AV64" s="9">
        <f t="shared" si="20"/>
        <v>24.063051382983801</v>
      </c>
      <c r="AW64" s="9">
        <f t="shared" si="21"/>
        <v>29.012678995073109</v>
      </c>
      <c r="AX64" s="9">
        <f t="shared" si="22"/>
        <v>26.203806973824442</v>
      </c>
      <c r="AY64" s="11">
        <v>6.59</v>
      </c>
      <c r="AZ64" s="4">
        <v>13.4</v>
      </c>
      <c r="BA64" s="4">
        <v>3.31</v>
      </c>
      <c r="BB64" s="4"/>
      <c r="BC64" s="4"/>
      <c r="BD64" s="8" t="s">
        <v>19</v>
      </c>
      <c r="BE64" s="4">
        <v>4</v>
      </c>
      <c r="BF64" s="4">
        <v>2</v>
      </c>
      <c r="BG64" s="4">
        <v>2</v>
      </c>
      <c r="BH64" s="22"/>
    </row>
    <row r="65" spans="1:60" ht="13.2" x14ac:dyDescent="0.25">
      <c r="A65" s="20" t="s">
        <v>24</v>
      </c>
      <c r="B65" s="4"/>
      <c r="C65" s="4"/>
      <c r="D65" s="4">
        <v>10</v>
      </c>
      <c r="E65" s="4">
        <v>2</v>
      </c>
      <c r="F65" s="8" t="s">
        <v>17</v>
      </c>
      <c r="G65" s="8" t="s">
        <v>18</v>
      </c>
      <c r="H65" s="4">
        <v>45.930999999999997</v>
      </c>
      <c r="I65" s="4">
        <v>60.63</v>
      </c>
      <c r="J65" s="4">
        <v>39.44</v>
      </c>
      <c r="K65" s="4">
        <v>31.84</v>
      </c>
      <c r="L65" s="4">
        <v>3</v>
      </c>
      <c r="M65" s="4">
        <v>5</v>
      </c>
      <c r="N65" s="4" t="s">
        <v>19</v>
      </c>
      <c r="O65" s="4" t="s">
        <v>28</v>
      </c>
      <c r="P65" s="4">
        <v>6</v>
      </c>
      <c r="Q65" s="4" t="s">
        <v>19</v>
      </c>
      <c r="R65" s="4" t="s">
        <v>20</v>
      </c>
      <c r="S65" s="4">
        <v>11.81</v>
      </c>
      <c r="T65" s="4">
        <v>12.42</v>
      </c>
      <c r="U65" s="4">
        <v>14.98</v>
      </c>
      <c r="V65" s="17">
        <f t="shared" si="0"/>
        <v>13.07</v>
      </c>
      <c r="W65" s="4">
        <v>8.17</v>
      </c>
      <c r="X65" s="4">
        <v>8.58</v>
      </c>
      <c r="Y65" s="4">
        <v>10.38</v>
      </c>
      <c r="Z65" s="17">
        <f t="shared" si="1"/>
        <v>9.0433333333333348</v>
      </c>
      <c r="AA65" s="4">
        <v>5.65</v>
      </c>
      <c r="AB65" s="4">
        <v>5.79</v>
      </c>
      <c r="AC65" s="4">
        <v>6.17</v>
      </c>
      <c r="AD65" s="17">
        <f t="shared" si="2"/>
        <v>5.87</v>
      </c>
      <c r="AE65" s="8">
        <f t="shared" si="3"/>
        <v>30.621426808967289</v>
      </c>
      <c r="AF65" s="9">
        <f t="shared" si="4"/>
        <v>31.504582391152088</v>
      </c>
      <c r="AG65" s="9">
        <f t="shared" si="5"/>
        <v>34.35482590386971</v>
      </c>
      <c r="AH65" s="9">
        <f t="shared" si="6"/>
        <v>13.423190022400721</v>
      </c>
      <c r="AI65" s="9">
        <f t="shared" si="7"/>
        <v>14.30140506763215</v>
      </c>
      <c r="AJ65" s="9">
        <f t="shared" si="8"/>
        <v>18.724117936781155</v>
      </c>
      <c r="AK65" s="9">
        <f t="shared" si="9"/>
        <v>17.156525752858968</v>
      </c>
      <c r="AL65" s="9">
        <f t="shared" si="10"/>
        <v>17.978298956834202</v>
      </c>
      <c r="AM65" s="9">
        <f t="shared" si="11"/>
        <v>21.372888569121869</v>
      </c>
      <c r="AN65" s="9">
        <f t="shared" si="12"/>
        <v>32.160278367996362</v>
      </c>
      <c r="AO65" s="9">
        <f t="shared" si="13"/>
        <v>15.482904342271341</v>
      </c>
      <c r="AP65" s="9">
        <f t="shared" si="14"/>
        <v>18.835904426271679</v>
      </c>
      <c r="AQ65" s="9">
        <f t="shared" si="15"/>
        <v>33.43432084242805</v>
      </c>
      <c r="AR65" s="9">
        <f t="shared" si="16"/>
        <v>34.598683480002308</v>
      </c>
      <c r="AS65" s="9">
        <f t="shared" si="17"/>
        <v>39.126035518509759</v>
      </c>
      <c r="AT65" s="9">
        <f t="shared" si="18"/>
        <v>35.719679946980044</v>
      </c>
      <c r="AU65" s="9">
        <f t="shared" si="19"/>
        <v>23.670693581108523</v>
      </c>
      <c r="AV65" s="9">
        <f t="shared" si="20"/>
        <v>24.415522408462365</v>
      </c>
      <c r="AW65" s="9">
        <f t="shared" si="21"/>
        <v>28.591332768762999</v>
      </c>
      <c r="AX65" s="9">
        <f t="shared" si="22"/>
        <v>25.559182919444627</v>
      </c>
      <c r="AY65" s="11">
        <v>7.93</v>
      </c>
      <c r="AZ65" s="4">
        <v>12.2</v>
      </c>
      <c r="BA65" s="4">
        <v>3.43</v>
      </c>
      <c r="BB65" s="4"/>
      <c r="BC65" s="4"/>
      <c r="BD65" s="8" t="s">
        <v>19</v>
      </c>
      <c r="BE65" s="4">
        <v>4</v>
      </c>
      <c r="BF65" s="4">
        <v>2</v>
      </c>
      <c r="BG65" s="4">
        <v>2</v>
      </c>
      <c r="BH65" s="22"/>
    </row>
    <row r="66" spans="1:60" ht="13.2" x14ac:dyDescent="0.25">
      <c r="A66" s="20" t="s">
        <v>24</v>
      </c>
      <c r="B66" s="4"/>
      <c r="C66" s="4"/>
      <c r="D66" s="4">
        <v>10</v>
      </c>
      <c r="E66" s="4">
        <v>3</v>
      </c>
      <c r="F66" s="8" t="s">
        <v>17</v>
      </c>
      <c r="G66" s="8" t="s">
        <v>18</v>
      </c>
      <c r="H66" s="4">
        <v>56.387700000000002</v>
      </c>
      <c r="I66" s="4">
        <v>71.53</v>
      </c>
      <c r="J66" s="4">
        <v>41.46</v>
      </c>
      <c r="K66" s="4">
        <v>38.42</v>
      </c>
      <c r="L66" s="4">
        <v>2</v>
      </c>
      <c r="M66" s="4">
        <v>5</v>
      </c>
      <c r="N66" s="4" t="s">
        <v>19</v>
      </c>
      <c r="O66" s="4" t="s">
        <v>30</v>
      </c>
      <c r="P66" s="4">
        <v>8</v>
      </c>
      <c r="Q66" s="4" t="s">
        <v>19</v>
      </c>
      <c r="R66" s="4" t="s">
        <v>20</v>
      </c>
      <c r="S66" s="4">
        <v>13.97</v>
      </c>
      <c r="T66" s="4">
        <v>10.93</v>
      </c>
      <c r="U66" s="4">
        <v>13.33</v>
      </c>
      <c r="V66" s="17">
        <f t="shared" si="0"/>
        <v>12.743333333333332</v>
      </c>
      <c r="W66" s="4">
        <v>9.5399999999999991</v>
      </c>
      <c r="X66" s="4">
        <v>7.49</v>
      </c>
      <c r="Y66" s="4">
        <v>9.2200000000000006</v>
      </c>
      <c r="Z66" s="17">
        <f t="shared" si="1"/>
        <v>8.75</v>
      </c>
      <c r="AA66" s="4">
        <v>6.02</v>
      </c>
      <c r="AB66" s="4">
        <v>5.57</v>
      </c>
      <c r="AC66" s="4">
        <v>5.62</v>
      </c>
      <c r="AD66" s="17">
        <f t="shared" si="2"/>
        <v>5.7366666666666672</v>
      </c>
      <c r="AE66" s="8">
        <f t="shared" si="3"/>
        <v>34.306680165045123</v>
      </c>
      <c r="AF66" s="9">
        <f t="shared" si="4"/>
        <v>30.107606948084424</v>
      </c>
      <c r="AG66" s="9">
        <f t="shared" si="5"/>
        <v>32.544836870160246</v>
      </c>
      <c r="AH66" s="9">
        <f t="shared" si="6"/>
        <v>16.620958000742597</v>
      </c>
      <c r="AI66" s="9">
        <f t="shared" si="7"/>
        <v>11.303285720500305</v>
      </c>
      <c r="AJ66" s="9">
        <f t="shared" si="8"/>
        <v>17.101959160942737</v>
      </c>
      <c r="AK66" s="9">
        <f t="shared" si="9"/>
        <v>19.828792890634759</v>
      </c>
      <c r="AL66" s="9">
        <f t="shared" si="10"/>
        <v>15.746722665497302</v>
      </c>
      <c r="AM66" s="9">
        <f t="shared" si="11"/>
        <v>19.222765365598427</v>
      </c>
      <c r="AN66" s="9">
        <f t="shared" si="12"/>
        <v>32.319707994429933</v>
      </c>
      <c r="AO66" s="9">
        <f t="shared" si="13"/>
        <v>15.008734294061881</v>
      </c>
      <c r="AP66" s="9">
        <f t="shared" si="14"/>
        <v>18.26609364057683</v>
      </c>
      <c r="AQ66" s="9">
        <f t="shared" si="15"/>
        <v>38.12092009394776</v>
      </c>
      <c r="AR66" s="9">
        <f t="shared" si="16"/>
        <v>32.159481715655922</v>
      </c>
      <c r="AS66" s="9">
        <f t="shared" si="17"/>
        <v>36.764703372227757</v>
      </c>
      <c r="AT66" s="9">
        <f t="shared" si="18"/>
        <v>35.681701727277151</v>
      </c>
      <c r="AU66" s="9">
        <f t="shared" si="19"/>
        <v>25.849338060775441</v>
      </c>
      <c r="AV66" s="9">
        <f t="shared" si="20"/>
        <v>20.577619945979368</v>
      </c>
      <c r="AW66" s="9">
        <f t="shared" si="21"/>
        <v>27.721439658091551</v>
      </c>
      <c r="AX66" s="9">
        <f t="shared" si="22"/>
        <v>24.716132554948786</v>
      </c>
      <c r="AY66" s="11">
        <v>7.06</v>
      </c>
      <c r="AZ66" s="4">
        <v>13</v>
      </c>
      <c r="BA66" s="4">
        <v>3.38</v>
      </c>
      <c r="BB66" s="4"/>
      <c r="BC66" s="4"/>
      <c r="BD66" s="8" t="s">
        <v>19</v>
      </c>
      <c r="BE66" s="4">
        <v>3</v>
      </c>
      <c r="BF66" s="4">
        <v>2</v>
      </c>
      <c r="BG66" s="4">
        <v>2</v>
      </c>
      <c r="BH66" s="22"/>
    </row>
    <row r="67" spans="1:60" ht="13.2" x14ac:dyDescent="0.25">
      <c r="A67" s="20" t="s">
        <v>24</v>
      </c>
      <c r="B67" s="4"/>
      <c r="C67" s="4"/>
      <c r="D67" s="4">
        <v>10</v>
      </c>
      <c r="E67" s="4">
        <v>4</v>
      </c>
      <c r="F67" s="8" t="s">
        <v>17</v>
      </c>
      <c r="G67" s="8" t="s">
        <v>18</v>
      </c>
      <c r="H67" s="4">
        <v>47.2761</v>
      </c>
      <c r="I67" s="4">
        <v>66.739999999999995</v>
      </c>
      <c r="J67" s="4">
        <v>37.65</v>
      </c>
      <c r="K67" s="4">
        <v>39.68</v>
      </c>
      <c r="L67" s="4">
        <v>3</v>
      </c>
      <c r="M67" s="4">
        <v>5</v>
      </c>
      <c r="N67" s="4" t="s">
        <v>19</v>
      </c>
      <c r="O67" s="4" t="s">
        <v>28</v>
      </c>
      <c r="P67" s="4">
        <v>4</v>
      </c>
      <c r="Q67" s="4" t="s">
        <v>19</v>
      </c>
      <c r="R67" s="4" t="s">
        <v>20</v>
      </c>
      <c r="S67" s="4">
        <v>14.56</v>
      </c>
      <c r="T67" s="4">
        <v>15.23</v>
      </c>
      <c r="U67" s="4">
        <v>18.43</v>
      </c>
      <c r="V67" s="17">
        <f t="shared" ref="V67:V82" si="23">AVERAGE(S67:U67)</f>
        <v>16.073333333333334</v>
      </c>
      <c r="W67" s="4">
        <v>10.09</v>
      </c>
      <c r="X67" s="4">
        <v>10.5</v>
      </c>
      <c r="Y67" s="4">
        <v>12.89</v>
      </c>
      <c r="Z67" s="17">
        <f t="shared" ref="Z67:Z82" si="24">AVERAGE(W67:Y67)</f>
        <v>11.160000000000002</v>
      </c>
      <c r="AA67" s="4">
        <v>5.98</v>
      </c>
      <c r="AB67" s="4">
        <v>6.03</v>
      </c>
      <c r="AC67" s="4">
        <v>6.25</v>
      </c>
      <c r="AD67" s="17">
        <f t="shared" ref="AD67:AD82" si="25">AVERAGE(AA67:AC67)</f>
        <v>6.0866666666666669</v>
      </c>
      <c r="AE67" s="8">
        <f t="shared" ref="AE67:AE82" si="26">500*(SQRT(S67/98.04)-SQRT(W67/100))</f>
        <v>33.861701028996883</v>
      </c>
      <c r="AF67" s="9">
        <f t="shared" ref="AF67:AF82" si="27">500*(SQRT(T67/98.04)-SQRT(X67/100))</f>
        <v>35.05047885958362</v>
      </c>
      <c r="AG67" s="9">
        <f t="shared" ref="AG67:AG82" si="28">500*(SQRT(U67/98.04)-SQRT(Y67/100))</f>
        <v>37.27266373642685</v>
      </c>
      <c r="AH67" s="9">
        <f t="shared" ref="AH67:AH82" si="29">200*(SQRT(W67/100)-SQRT(AA67/118.11))</f>
        <v>18.526957246443004</v>
      </c>
      <c r="AI67" s="9">
        <f t="shared" ref="AI67:AI82" si="30">200*(SQRT(X67/100)-SQRT(AB67/118.11))</f>
        <v>19.617097355484891</v>
      </c>
      <c r="AJ67" s="9">
        <f t="shared" ref="AJ67:AJ82" si="31">200*(SQRT(Y67/100)-SQRT(AC67/118.11))</f>
        <v>25.798000470609285</v>
      </c>
      <c r="AK67" s="9">
        <f t="shared" ref="AK67:AK82" si="32">116*SQRT(W67/100)-16</f>
        <v>20.847122004303131</v>
      </c>
      <c r="AL67" s="9">
        <f t="shared" ref="AL67:AL82" si="33">116*SQRT(X67/100)-16</f>
        <v>21.588296050765585</v>
      </c>
      <c r="AM67" s="9">
        <f t="shared" ref="AM67:AM82" si="34">116*SQRT(Y67/100)-16</f>
        <v>25.647069524757683</v>
      </c>
      <c r="AN67" s="9">
        <f t="shared" ref="AN67:AN82" si="35">AVERAGE(AE67:AG67)</f>
        <v>35.394947875002451</v>
      </c>
      <c r="AO67" s="9">
        <f t="shared" ref="AO67:AO82" si="36">AVERAGE(AH67:AJ67)</f>
        <v>21.314018357512392</v>
      </c>
      <c r="AP67" s="9">
        <f t="shared" ref="AP67:AP82" si="37">AVERAGE(AK67:AM67)</f>
        <v>22.694162526608796</v>
      </c>
      <c r="AQ67" s="9">
        <f t="shared" ref="AQ67:AQ82" si="38">+SQRT(POWER(AE67,2)+POWER(AH67,2))</f>
        <v>38.598742743626971</v>
      </c>
      <c r="AR67" s="9">
        <f t="shared" ref="AR67:AR82" si="39">+SQRT(POWER(AF67,2)+POWER(AI67,2))</f>
        <v>40.166734705981398</v>
      </c>
      <c r="AS67" s="9">
        <f t="shared" ref="AS67:AS82" si="40">+SQRT(POWER(AG67,2)+POWER(AJ67,2))</f>
        <v>45.329772669739981</v>
      </c>
      <c r="AT67" s="9">
        <f t="shared" ref="AT67:AT82" si="41">+AVERAGE(AQ67:AS67)</f>
        <v>41.365083373116114</v>
      </c>
      <c r="AU67" s="9">
        <f t="shared" ref="AU67:AU82" si="42">DEGREES(ATAN(AH67/AE67))</f>
        <v>28.684658742689784</v>
      </c>
      <c r="AV67" s="9">
        <f t="shared" ref="AV67:AV81" si="43">DEGREES(ATAN(AI67/AF67))</f>
        <v>29.234923319862023</v>
      </c>
      <c r="AW67" s="9">
        <f t="shared" ref="AW67:AW81" si="44">DEGREES(ATAN(AJ67/AG67))</f>
        <v>34.688760855717405</v>
      </c>
      <c r="AX67" s="9">
        <f t="shared" ref="AX67:AX82" si="45">+AVERAGE(AU67:AW67)</f>
        <v>30.869447639423072</v>
      </c>
      <c r="AY67" s="11">
        <v>5.56</v>
      </c>
      <c r="AZ67" s="4">
        <v>13</v>
      </c>
      <c r="BA67" s="4">
        <v>4.0199999999999996</v>
      </c>
      <c r="BB67" s="4"/>
      <c r="BC67" s="4"/>
      <c r="BD67" s="8" t="s">
        <v>19</v>
      </c>
      <c r="BE67" s="4">
        <v>1</v>
      </c>
      <c r="BF67" s="4">
        <v>2</v>
      </c>
      <c r="BG67" s="4">
        <v>2</v>
      </c>
      <c r="BH67" s="22"/>
    </row>
    <row r="68" spans="1:60" ht="13.2" x14ac:dyDescent="0.25">
      <c r="A68" s="20" t="s">
        <v>24</v>
      </c>
      <c r="B68" s="4"/>
      <c r="C68" s="4"/>
      <c r="D68" s="4">
        <v>14</v>
      </c>
      <c r="E68" s="4">
        <v>1</v>
      </c>
      <c r="F68" s="8" t="s">
        <v>17</v>
      </c>
      <c r="G68" s="8" t="s">
        <v>18</v>
      </c>
      <c r="H68" s="4">
        <v>39.976999999999997</v>
      </c>
      <c r="I68" s="4">
        <v>69.94</v>
      </c>
      <c r="J68" s="4">
        <v>35.049999999999997</v>
      </c>
      <c r="K68" s="4">
        <v>39.22</v>
      </c>
      <c r="L68" s="4">
        <v>5</v>
      </c>
      <c r="M68" s="4">
        <v>6</v>
      </c>
      <c r="N68" s="4" t="s">
        <v>19</v>
      </c>
      <c r="O68" s="4" t="s">
        <v>28</v>
      </c>
      <c r="P68" s="4">
        <v>8</v>
      </c>
      <c r="Q68" s="4" t="s">
        <v>19</v>
      </c>
      <c r="R68" s="4" t="s">
        <v>20</v>
      </c>
      <c r="S68" s="4">
        <v>13.73</v>
      </c>
      <c r="T68" s="4">
        <v>10.28</v>
      </c>
      <c r="U68" s="4">
        <v>10.8</v>
      </c>
      <c r="V68" s="17">
        <f t="shared" si="23"/>
        <v>11.603333333333333</v>
      </c>
      <c r="W68" s="4">
        <v>9.4</v>
      </c>
      <c r="X68" s="4">
        <v>7.27</v>
      </c>
      <c r="Y68" s="4">
        <v>7.5</v>
      </c>
      <c r="Z68" s="17">
        <f t="shared" si="24"/>
        <v>8.0566666666666666</v>
      </c>
      <c r="AA68" s="4">
        <v>5.84</v>
      </c>
      <c r="AB68" s="4">
        <v>5.69</v>
      </c>
      <c r="AC68" s="4">
        <v>5.73</v>
      </c>
      <c r="AD68" s="17">
        <f t="shared" si="25"/>
        <v>5.7533333333333339</v>
      </c>
      <c r="AE68" s="8">
        <f t="shared" si="26"/>
        <v>33.815756239791803</v>
      </c>
      <c r="AF68" s="9">
        <f t="shared" si="27"/>
        <v>27.092045678432182</v>
      </c>
      <c r="AG68" s="9">
        <f t="shared" si="28"/>
        <v>29.020497051762352</v>
      </c>
      <c r="AH68" s="9">
        <f t="shared" si="29"/>
        <v>16.846181098818256</v>
      </c>
      <c r="AI68" s="9">
        <f t="shared" si="30"/>
        <v>10.028071149428969</v>
      </c>
      <c r="AJ68" s="9">
        <f t="shared" si="31"/>
        <v>10.720423993735345</v>
      </c>
      <c r="AK68" s="9">
        <f t="shared" si="32"/>
        <v>19.564926542873664</v>
      </c>
      <c r="AL68" s="9">
        <f t="shared" si="33"/>
        <v>15.277007529493613</v>
      </c>
      <c r="AM68" s="9">
        <f t="shared" si="34"/>
        <v>15.767908335299634</v>
      </c>
      <c r="AN68" s="9">
        <f t="shared" si="35"/>
        <v>29.976099656662111</v>
      </c>
      <c r="AO68" s="9">
        <f t="shared" si="36"/>
        <v>12.531558747327523</v>
      </c>
      <c r="AP68" s="9">
        <f t="shared" si="37"/>
        <v>16.869947469222307</v>
      </c>
      <c r="AQ68" s="9">
        <f t="shared" si="38"/>
        <v>37.779613387158953</v>
      </c>
      <c r="AR68" s="9">
        <f t="shared" si="39"/>
        <v>28.888425883392564</v>
      </c>
      <c r="AS68" s="9">
        <f t="shared" si="40"/>
        <v>30.937303368858828</v>
      </c>
      <c r="AT68" s="9">
        <f t="shared" si="41"/>
        <v>32.535114213136779</v>
      </c>
      <c r="AU68" s="9">
        <f t="shared" si="42"/>
        <v>26.481361003908795</v>
      </c>
      <c r="AV68" s="9">
        <f t="shared" si="43"/>
        <v>20.311940636287115</v>
      </c>
      <c r="AW68" s="9">
        <f t="shared" si="44"/>
        <v>20.274668361365325</v>
      </c>
      <c r="AX68" s="9">
        <f t="shared" si="45"/>
        <v>22.355990000520411</v>
      </c>
      <c r="AY68" s="11">
        <v>6.45</v>
      </c>
      <c r="AZ68" s="4">
        <v>10.199999999999999</v>
      </c>
      <c r="BA68" s="4">
        <v>3.96</v>
      </c>
      <c r="BB68" s="4"/>
      <c r="BC68" s="4"/>
      <c r="BD68" s="8" t="s">
        <v>19</v>
      </c>
      <c r="BE68" s="4">
        <v>2</v>
      </c>
      <c r="BF68" s="4">
        <v>2</v>
      </c>
      <c r="BG68" s="4">
        <v>2</v>
      </c>
      <c r="BH68" s="22"/>
    </row>
    <row r="69" spans="1:60" ht="13.2" x14ac:dyDescent="0.25">
      <c r="A69" s="20" t="s">
        <v>24</v>
      </c>
      <c r="B69" s="4"/>
      <c r="C69" s="4"/>
      <c r="D69" s="4">
        <v>14</v>
      </c>
      <c r="E69" s="4">
        <v>2</v>
      </c>
      <c r="F69" s="8" t="s">
        <v>17</v>
      </c>
      <c r="G69" s="8" t="s">
        <v>18</v>
      </c>
      <c r="H69" s="4">
        <v>46.141399999999997</v>
      </c>
      <c r="I69" s="4">
        <v>71.7</v>
      </c>
      <c r="J69" s="4">
        <v>36.49</v>
      </c>
      <c r="K69" s="4">
        <v>31.43</v>
      </c>
      <c r="L69" s="4">
        <v>5</v>
      </c>
      <c r="M69" s="4">
        <v>6</v>
      </c>
      <c r="N69" s="4" t="s">
        <v>19</v>
      </c>
      <c r="O69" s="4" t="s">
        <v>28</v>
      </c>
      <c r="P69" s="4">
        <v>7</v>
      </c>
      <c r="Q69" s="4" t="s">
        <v>19</v>
      </c>
      <c r="R69" s="4" t="s">
        <v>20</v>
      </c>
      <c r="S69" s="4">
        <v>12</v>
      </c>
      <c r="T69" s="4">
        <v>11.64</v>
      </c>
      <c r="U69" s="4">
        <v>12.29</v>
      </c>
      <c r="V69" s="17">
        <f t="shared" si="23"/>
        <v>11.976666666666667</v>
      </c>
      <c r="W69" s="4">
        <v>8.07</v>
      </c>
      <c r="X69" s="4">
        <v>7.95</v>
      </c>
      <c r="Y69" s="4">
        <v>8.48</v>
      </c>
      <c r="Z69" s="17">
        <f t="shared" si="24"/>
        <v>8.1666666666666661</v>
      </c>
      <c r="AA69" s="4">
        <v>5.75</v>
      </c>
      <c r="AB69" s="4">
        <v>5.88</v>
      </c>
      <c r="AC69" s="4">
        <v>5.99</v>
      </c>
      <c r="AD69" s="17">
        <f t="shared" si="25"/>
        <v>5.8733333333333322</v>
      </c>
      <c r="AE69" s="8">
        <f t="shared" si="26"/>
        <v>32.88913002191196</v>
      </c>
      <c r="AF69" s="9">
        <f t="shared" si="27"/>
        <v>31.305237251159966</v>
      </c>
      <c r="AG69" s="9">
        <f t="shared" si="28"/>
        <v>31.426752632126963</v>
      </c>
      <c r="AH69" s="9">
        <f t="shared" si="29"/>
        <v>12.686846769123566</v>
      </c>
      <c r="AI69" s="9">
        <f t="shared" si="30"/>
        <v>11.7667872333371</v>
      </c>
      <c r="AJ69" s="9">
        <f t="shared" si="31"/>
        <v>13.200703819646165</v>
      </c>
      <c r="AK69" s="9">
        <f t="shared" si="32"/>
        <v>16.95298469031296</v>
      </c>
      <c r="AL69" s="9">
        <f t="shared" si="33"/>
        <v>16.707063457302311</v>
      </c>
      <c r="AM69" s="9">
        <f t="shared" si="34"/>
        <v>17.779709886261607</v>
      </c>
      <c r="AN69" s="9">
        <f t="shared" si="35"/>
        <v>31.873706635066295</v>
      </c>
      <c r="AO69" s="9">
        <f t="shared" si="36"/>
        <v>12.551445940702278</v>
      </c>
      <c r="AP69" s="9">
        <f t="shared" si="37"/>
        <v>17.146586011292293</v>
      </c>
      <c r="AQ69" s="9">
        <f t="shared" si="38"/>
        <v>35.251254652018439</v>
      </c>
      <c r="AR69" s="9">
        <f t="shared" si="39"/>
        <v>33.443611664203353</v>
      </c>
      <c r="AS69" s="9">
        <f t="shared" si="40"/>
        <v>34.086644926347908</v>
      </c>
      <c r="AT69" s="9">
        <f t="shared" si="41"/>
        <v>34.260503747523238</v>
      </c>
      <c r="AU69" s="9">
        <f t="shared" si="42"/>
        <v>21.093915826242899</v>
      </c>
      <c r="AV69" s="9">
        <f t="shared" si="43"/>
        <v>20.599875135806773</v>
      </c>
      <c r="AW69" s="9">
        <f t="shared" si="44"/>
        <v>22.784680316420058</v>
      </c>
      <c r="AX69" s="9">
        <f t="shared" si="45"/>
        <v>21.492823759489909</v>
      </c>
      <c r="AY69" s="11">
        <v>5.34</v>
      </c>
      <c r="AZ69" s="4">
        <v>10</v>
      </c>
      <c r="BA69" s="4">
        <v>3.62</v>
      </c>
      <c r="BB69" s="4"/>
      <c r="BC69" s="4"/>
      <c r="BD69" s="8" t="s">
        <v>19</v>
      </c>
      <c r="BE69" s="4">
        <v>4</v>
      </c>
      <c r="BF69" s="4">
        <v>2</v>
      </c>
      <c r="BG69" s="4">
        <v>2</v>
      </c>
      <c r="BH69" s="22"/>
    </row>
    <row r="70" spans="1:60" ht="13.2" x14ac:dyDescent="0.25">
      <c r="A70" s="20" t="s">
        <v>24</v>
      </c>
      <c r="B70" s="4"/>
      <c r="C70" s="4"/>
      <c r="D70" s="4">
        <v>14</v>
      </c>
      <c r="E70" s="4">
        <v>3</v>
      </c>
      <c r="F70" s="8" t="s">
        <v>17</v>
      </c>
      <c r="G70" s="8" t="s">
        <v>18</v>
      </c>
      <c r="H70" s="4">
        <v>35.7179</v>
      </c>
      <c r="I70" s="4">
        <v>62.3</v>
      </c>
      <c r="J70" s="4">
        <v>33.9</v>
      </c>
      <c r="K70" s="4">
        <v>34.69</v>
      </c>
      <c r="L70" s="4">
        <v>3</v>
      </c>
      <c r="M70" s="4">
        <v>6</v>
      </c>
      <c r="N70" s="4" t="s">
        <v>19</v>
      </c>
      <c r="O70" s="4" t="s">
        <v>29</v>
      </c>
      <c r="P70" s="4">
        <v>8</v>
      </c>
      <c r="Q70" s="4" t="s">
        <v>19</v>
      </c>
      <c r="R70" s="4" t="s">
        <v>19</v>
      </c>
      <c r="S70" s="4">
        <v>10.38</v>
      </c>
      <c r="T70" s="4">
        <v>11.06</v>
      </c>
      <c r="U70" s="4">
        <v>10.77</v>
      </c>
      <c r="V70" s="17">
        <f t="shared" si="23"/>
        <v>10.736666666666666</v>
      </c>
      <c r="W70" s="4">
        <v>7.25</v>
      </c>
      <c r="X70" s="4">
        <v>7.63</v>
      </c>
      <c r="Y70" s="4">
        <v>7.72</v>
      </c>
      <c r="Z70" s="17">
        <f t="shared" si="24"/>
        <v>7.5333333333333323</v>
      </c>
      <c r="AA70" s="4">
        <v>5.6</v>
      </c>
      <c r="AB70" s="4">
        <v>5.92</v>
      </c>
      <c r="AC70" s="4">
        <v>6.23</v>
      </c>
      <c r="AD70" s="17">
        <f t="shared" si="25"/>
        <v>5.916666666666667</v>
      </c>
      <c r="AE70" s="8">
        <f t="shared" si="26"/>
        <v>28.063191409167576</v>
      </c>
      <c r="AF70" s="9">
        <f t="shared" si="27"/>
        <v>29.824543454674558</v>
      </c>
      <c r="AG70" s="9">
        <f t="shared" si="28"/>
        <v>26.796048560483428</v>
      </c>
      <c r="AH70" s="9">
        <f t="shared" si="29"/>
        <v>10.302398635705091</v>
      </c>
      <c r="AI70" s="9">
        <f t="shared" si="30"/>
        <v>10.468680345591046</v>
      </c>
      <c r="AJ70" s="9">
        <f t="shared" si="31"/>
        <v>9.6361547949903823</v>
      </c>
      <c r="AK70" s="9">
        <f t="shared" si="32"/>
        <v>15.233955881380123</v>
      </c>
      <c r="AL70" s="9">
        <f t="shared" si="33"/>
        <v>16.042047375284866</v>
      </c>
      <c r="AM70" s="9">
        <f t="shared" si="34"/>
        <v>16.230470055523547</v>
      </c>
      <c r="AN70" s="9">
        <f t="shared" si="35"/>
        <v>28.227927808108518</v>
      </c>
      <c r="AO70" s="9">
        <f t="shared" si="36"/>
        <v>10.135744592095506</v>
      </c>
      <c r="AP70" s="9">
        <f t="shared" si="37"/>
        <v>15.835491104062845</v>
      </c>
      <c r="AQ70" s="9">
        <f t="shared" si="38"/>
        <v>29.894516716557821</v>
      </c>
      <c r="AR70" s="9">
        <f t="shared" si="39"/>
        <v>31.608490322347496</v>
      </c>
      <c r="AS70" s="9">
        <f t="shared" si="40"/>
        <v>28.476019695329647</v>
      </c>
      <c r="AT70" s="9">
        <f t="shared" si="41"/>
        <v>29.993008911411653</v>
      </c>
      <c r="AU70" s="9">
        <f t="shared" si="42"/>
        <v>20.158907718220654</v>
      </c>
      <c r="AV70" s="9">
        <f t="shared" si="43"/>
        <v>19.341527568316298</v>
      </c>
      <c r="AW70" s="9">
        <f t="shared" si="44"/>
        <v>19.77914482728859</v>
      </c>
      <c r="AX70" s="9">
        <f t="shared" si="45"/>
        <v>19.759860037941849</v>
      </c>
      <c r="AY70" s="11">
        <v>4.95</v>
      </c>
      <c r="AZ70" s="4">
        <v>12.4</v>
      </c>
      <c r="BA70" s="4">
        <v>3.62</v>
      </c>
      <c r="BB70" s="4"/>
      <c r="BC70" s="4"/>
      <c r="BD70" s="8" t="s">
        <v>19</v>
      </c>
      <c r="BE70" s="4">
        <v>2</v>
      </c>
      <c r="BF70" s="4">
        <v>2</v>
      </c>
      <c r="BG70" s="4">
        <v>2</v>
      </c>
      <c r="BH70" s="22"/>
    </row>
    <row r="71" spans="1:60" ht="13.2" x14ac:dyDescent="0.25">
      <c r="A71" s="20">
        <v>738</v>
      </c>
      <c r="B71" s="4"/>
      <c r="C71" s="4"/>
      <c r="D71" s="4">
        <v>17</v>
      </c>
      <c r="E71" s="4">
        <v>1</v>
      </c>
      <c r="F71" s="8" t="s">
        <v>17</v>
      </c>
      <c r="G71" s="8" t="s">
        <v>18</v>
      </c>
      <c r="H71" s="4">
        <v>42.8568</v>
      </c>
      <c r="I71" s="4">
        <v>66.47</v>
      </c>
      <c r="J71" s="4">
        <v>38.82</v>
      </c>
      <c r="K71" s="4">
        <v>41.25</v>
      </c>
      <c r="L71" s="4">
        <v>4</v>
      </c>
      <c r="M71" s="4">
        <v>5</v>
      </c>
      <c r="N71" s="4" t="s">
        <v>19</v>
      </c>
      <c r="O71" s="4" t="s">
        <v>30</v>
      </c>
      <c r="P71" s="4">
        <v>8</v>
      </c>
      <c r="Q71" s="4" t="s">
        <v>19</v>
      </c>
      <c r="R71" s="4" t="s">
        <v>20</v>
      </c>
      <c r="S71" s="4">
        <v>15.8</v>
      </c>
      <c r="T71" s="4">
        <v>14.61</v>
      </c>
      <c r="U71" s="4">
        <v>8.48</v>
      </c>
      <c r="V71" s="17">
        <f t="shared" si="23"/>
        <v>12.963333333333333</v>
      </c>
      <c r="W71" s="4">
        <v>11.13</v>
      </c>
      <c r="X71" s="4">
        <v>9.8000000000000007</v>
      </c>
      <c r="Y71" s="4">
        <v>6.85</v>
      </c>
      <c r="Z71" s="17">
        <f t="shared" si="24"/>
        <v>9.26</v>
      </c>
      <c r="AA71" s="4">
        <v>6.54</v>
      </c>
      <c r="AB71" s="4">
        <v>6.17</v>
      </c>
      <c r="AC71" s="4">
        <v>6.06</v>
      </c>
      <c r="AD71" s="17">
        <f t="shared" si="25"/>
        <v>6.2566666666666668</v>
      </c>
      <c r="AE71" s="8">
        <f t="shared" si="26"/>
        <v>33.914614613432839</v>
      </c>
      <c r="AF71" s="9">
        <f t="shared" si="27"/>
        <v>36.491308155971488</v>
      </c>
      <c r="AG71" s="9">
        <f t="shared" si="28"/>
        <v>16.187900073673351</v>
      </c>
      <c r="AH71" s="9">
        <f t="shared" si="29"/>
        <v>19.660750587682411</v>
      </c>
      <c r="AI71" s="9">
        <f t="shared" si="30"/>
        <v>16.898006532427218</v>
      </c>
      <c r="AJ71" s="9">
        <f t="shared" si="31"/>
        <v>7.0424254503855144</v>
      </c>
      <c r="AK71" s="9">
        <f t="shared" si="32"/>
        <v>22.699519376860486</v>
      </c>
      <c r="AL71" s="9">
        <f t="shared" si="33"/>
        <v>20.313743954596589</v>
      </c>
      <c r="AM71" s="9">
        <f t="shared" si="34"/>
        <v>14.360105401661567</v>
      </c>
      <c r="AN71" s="9">
        <f t="shared" si="35"/>
        <v>28.864607614359226</v>
      </c>
      <c r="AO71" s="9">
        <f t="shared" si="36"/>
        <v>14.533727523498383</v>
      </c>
      <c r="AP71" s="9">
        <f t="shared" si="37"/>
        <v>19.12445624437288</v>
      </c>
      <c r="AQ71" s="9">
        <f t="shared" si="38"/>
        <v>39.201354543545129</v>
      </c>
      <c r="AR71" s="9">
        <f t="shared" si="39"/>
        <v>40.21390550175429</v>
      </c>
      <c r="AS71" s="9">
        <f t="shared" si="40"/>
        <v>17.653437767740066</v>
      </c>
      <c r="AT71" s="9">
        <f t="shared" si="41"/>
        <v>32.356232604346495</v>
      </c>
      <c r="AU71" s="9">
        <f t="shared" si="42"/>
        <v>30.101436620307489</v>
      </c>
      <c r="AV71" s="9">
        <f t="shared" si="43"/>
        <v>24.84740878398225</v>
      </c>
      <c r="AW71" s="9">
        <f t="shared" si="44"/>
        <v>23.511090579238154</v>
      </c>
      <c r="AX71" s="9">
        <f t="shared" si="45"/>
        <v>26.153311994509298</v>
      </c>
      <c r="AY71" s="11">
        <v>5.16</v>
      </c>
      <c r="AZ71" s="4">
        <v>10</v>
      </c>
      <c r="BA71" s="4">
        <v>3.66</v>
      </c>
      <c r="BB71" s="4"/>
      <c r="BC71" s="4"/>
      <c r="BD71" s="8" t="s">
        <v>19</v>
      </c>
      <c r="BE71" s="4">
        <v>4</v>
      </c>
      <c r="BF71" s="4">
        <v>2</v>
      </c>
      <c r="BG71" s="4">
        <v>2</v>
      </c>
      <c r="BH71" s="22"/>
    </row>
    <row r="72" spans="1:60" ht="13.2" x14ac:dyDescent="0.25">
      <c r="A72" s="20">
        <v>738</v>
      </c>
      <c r="B72" s="4"/>
      <c r="C72" s="4"/>
      <c r="D72" s="4">
        <v>17</v>
      </c>
      <c r="E72" s="4">
        <v>2</v>
      </c>
      <c r="F72" s="8" t="s">
        <v>17</v>
      </c>
      <c r="G72" s="8" t="s">
        <v>18</v>
      </c>
      <c r="H72" s="4">
        <v>35.753300000000003</v>
      </c>
      <c r="I72" s="4">
        <v>66.98</v>
      </c>
      <c r="J72" s="4">
        <v>33.47</v>
      </c>
      <c r="K72" s="4">
        <v>34.4</v>
      </c>
      <c r="L72" s="4">
        <v>2</v>
      </c>
      <c r="M72" s="4">
        <v>6</v>
      </c>
      <c r="N72" s="4" t="s">
        <v>19</v>
      </c>
      <c r="O72" s="4" t="s">
        <v>30</v>
      </c>
      <c r="P72" s="4">
        <v>4</v>
      </c>
      <c r="Q72" s="4" t="s">
        <v>19</v>
      </c>
      <c r="R72" s="4" t="s">
        <v>20</v>
      </c>
      <c r="S72" s="4">
        <v>13</v>
      </c>
      <c r="T72" s="4">
        <v>12.48</v>
      </c>
      <c r="U72" s="4">
        <v>11.71</v>
      </c>
      <c r="V72" s="17">
        <f t="shared" si="23"/>
        <v>12.396666666666667</v>
      </c>
      <c r="W72" s="4">
        <v>8.7100000000000009</v>
      </c>
      <c r="X72" s="4">
        <v>8.36</v>
      </c>
      <c r="Y72" s="4">
        <v>7.89</v>
      </c>
      <c r="Z72" s="17">
        <f t="shared" si="24"/>
        <v>8.32</v>
      </c>
      <c r="AA72" s="4">
        <v>5.64</v>
      </c>
      <c r="AB72" s="4">
        <v>5.59</v>
      </c>
      <c r="AC72" s="4">
        <v>5.59</v>
      </c>
      <c r="AD72" s="17">
        <f t="shared" si="25"/>
        <v>5.6066666666666665</v>
      </c>
      <c r="AE72" s="8">
        <f t="shared" si="26"/>
        <v>34.507140645305576</v>
      </c>
      <c r="AF72" s="9">
        <f t="shared" si="27"/>
        <v>33.82378845279402</v>
      </c>
      <c r="AG72" s="9">
        <f t="shared" si="28"/>
        <v>32.355499456296563</v>
      </c>
      <c r="AH72" s="9">
        <f t="shared" si="29"/>
        <v>15.320912534202686</v>
      </c>
      <c r="AI72" s="9">
        <f t="shared" si="30"/>
        <v>14.316980376102146</v>
      </c>
      <c r="AJ72" s="9">
        <f t="shared" si="31"/>
        <v>12.667938817650864</v>
      </c>
      <c r="AK72" s="9">
        <f t="shared" si="32"/>
        <v>18.234742587027</v>
      </c>
      <c r="AL72" s="9">
        <f t="shared" si="33"/>
        <v>17.539850923938225</v>
      </c>
      <c r="AM72" s="9">
        <f t="shared" si="34"/>
        <v>16.58340682003648</v>
      </c>
      <c r="AN72" s="9">
        <f t="shared" si="35"/>
        <v>33.562142851465389</v>
      </c>
      <c r="AO72" s="9">
        <f t="shared" si="36"/>
        <v>14.101943909318564</v>
      </c>
      <c r="AP72" s="9">
        <f t="shared" si="37"/>
        <v>17.452666777000569</v>
      </c>
      <c r="AQ72" s="9">
        <f t="shared" si="38"/>
        <v>37.755438236042089</v>
      </c>
      <c r="AR72" s="9">
        <f t="shared" si="39"/>
        <v>36.729070126931553</v>
      </c>
      <c r="AS72" s="9">
        <f t="shared" si="40"/>
        <v>34.747014532966034</v>
      </c>
      <c r="AT72" s="9">
        <f t="shared" si="41"/>
        <v>36.41050763197989</v>
      </c>
      <c r="AU72" s="9">
        <f t="shared" si="42"/>
        <v>23.940863334243364</v>
      </c>
      <c r="AV72" s="9">
        <f t="shared" si="43"/>
        <v>22.942036488319832</v>
      </c>
      <c r="AW72" s="9">
        <f t="shared" si="44"/>
        <v>21.381511270812936</v>
      </c>
      <c r="AX72" s="9">
        <f t="shared" si="45"/>
        <v>22.754803697792045</v>
      </c>
      <c r="AY72" s="11">
        <v>6.04</v>
      </c>
      <c r="AZ72" s="4">
        <v>10.199999999999999</v>
      </c>
      <c r="BA72" s="4">
        <v>3.48</v>
      </c>
      <c r="BB72" s="4"/>
      <c r="BC72" s="4"/>
      <c r="BD72" s="8" t="s">
        <v>19</v>
      </c>
      <c r="BE72" s="4">
        <v>6</v>
      </c>
      <c r="BF72" s="4">
        <v>2</v>
      </c>
      <c r="BG72" s="4">
        <v>2</v>
      </c>
      <c r="BH72" s="22"/>
    </row>
    <row r="73" spans="1:60" ht="13.2" x14ac:dyDescent="0.25">
      <c r="A73" s="20">
        <v>738</v>
      </c>
      <c r="B73" s="4"/>
      <c r="C73" s="4"/>
      <c r="D73" s="4">
        <v>17</v>
      </c>
      <c r="E73" s="4">
        <v>3</v>
      </c>
      <c r="F73" s="8" t="s">
        <v>17</v>
      </c>
      <c r="G73" s="8" t="s">
        <v>18</v>
      </c>
      <c r="H73" s="4">
        <v>32.125799999999998</v>
      </c>
      <c r="I73" s="4">
        <v>63.47</v>
      </c>
      <c r="J73" s="4">
        <v>32.31</v>
      </c>
      <c r="K73" s="4">
        <v>35.590000000000003</v>
      </c>
      <c r="L73" s="4">
        <v>2</v>
      </c>
      <c r="M73" s="4">
        <v>5</v>
      </c>
      <c r="N73" s="4" t="s">
        <v>19</v>
      </c>
      <c r="O73" s="4" t="s">
        <v>28</v>
      </c>
      <c r="P73" s="4">
        <v>4</v>
      </c>
      <c r="Q73" s="4" t="s">
        <v>19</v>
      </c>
      <c r="R73" s="4" t="s">
        <v>19</v>
      </c>
      <c r="S73" s="4">
        <v>10.84</v>
      </c>
      <c r="T73" s="4">
        <v>12.61</v>
      </c>
      <c r="U73" s="4">
        <v>12.71</v>
      </c>
      <c r="V73" s="17">
        <f t="shared" si="23"/>
        <v>12.053333333333333</v>
      </c>
      <c r="W73" s="4">
        <v>7.62</v>
      </c>
      <c r="X73" s="4">
        <v>8.61</v>
      </c>
      <c r="Y73" s="4">
        <v>8.8000000000000007</v>
      </c>
      <c r="Z73" s="17">
        <f t="shared" si="24"/>
        <v>8.3433333333333337</v>
      </c>
      <c r="AA73" s="4">
        <v>5.3</v>
      </c>
      <c r="AB73" s="4">
        <v>5.39</v>
      </c>
      <c r="AC73" s="4">
        <v>5.56</v>
      </c>
      <c r="AD73" s="17">
        <f t="shared" si="25"/>
        <v>5.416666666666667</v>
      </c>
      <c r="AE73" s="8">
        <f t="shared" si="26"/>
        <v>28.236431901972225</v>
      </c>
      <c r="AF73" s="9">
        <f t="shared" si="27"/>
        <v>32.604822392559932</v>
      </c>
      <c r="AG73" s="9">
        <f t="shared" si="28"/>
        <v>31.704474449759573</v>
      </c>
      <c r="AH73" s="9">
        <f t="shared" si="29"/>
        <v>12.841999047021657</v>
      </c>
      <c r="AI73" s="9">
        <f t="shared" si="30"/>
        <v>15.960704126110636</v>
      </c>
      <c r="AJ73" s="9">
        <f t="shared" si="31"/>
        <v>15.936150228754576</v>
      </c>
      <c r="AK73" s="9">
        <f t="shared" si="32"/>
        <v>16.021043081074048</v>
      </c>
      <c r="AL73" s="9">
        <f t="shared" si="33"/>
        <v>18.037649742601211</v>
      </c>
      <c r="AM73" s="9">
        <f t="shared" si="34"/>
        <v>18.411160980123874</v>
      </c>
      <c r="AN73" s="9">
        <f t="shared" si="35"/>
        <v>30.848576248097242</v>
      </c>
      <c r="AO73" s="9">
        <f t="shared" si="36"/>
        <v>14.91295113396229</v>
      </c>
      <c r="AP73" s="9">
        <f t="shared" si="37"/>
        <v>17.489951267933044</v>
      </c>
      <c r="AQ73" s="9">
        <f t="shared" si="38"/>
        <v>31.019558766662364</v>
      </c>
      <c r="AR73" s="9">
        <f t="shared" si="39"/>
        <v>36.301770197217969</v>
      </c>
      <c r="AS73" s="9">
        <f t="shared" si="40"/>
        <v>35.484286441309372</v>
      </c>
      <c r="AT73" s="9">
        <f t="shared" si="41"/>
        <v>34.268538468396571</v>
      </c>
      <c r="AU73" s="9">
        <f t="shared" si="42"/>
        <v>24.456158065618318</v>
      </c>
      <c r="AV73" s="9">
        <f t="shared" si="43"/>
        <v>26.082660486179936</v>
      </c>
      <c r="AW73" s="9">
        <f t="shared" si="44"/>
        <v>26.686239602104855</v>
      </c>
      <c r="AX73" s="9">
        <f t="shared" si="45"/>
        <v>25.741686051301041</v>
      </c>
      <c r="AY73" s="11">
        <v>4.26</v>
      </c>
      <c r="AZ73" s="4">
        <v>9.6</v>
      </c>
      <c r="BA73" s="4">
        <v>3.96</v>
      </c>
      <c r="BB73" s="4"/>
      <c r="BC73" s="4"/>
      <c r="BD73" s="8" t="s">
        <v>19</v>
      </c>
      <c r="BE73" s="4">
        <v>3</v>
      </c>
      <c r="BF73" s="4">
        <v>2</v>
      </c>
      <c r="BG73" s="4">
        <v>2</v>
      </c>
      <c r="BH73" s="22"/>
    </row>
    <row r="74" spans="1:60" ht="13.2" x14ac:dyDescent="0.25">
      <c r="A74" s="20">
        <v>738</v>
      </c>
      <c r="B74" s="4"/>
      <c r="C74" s="4"/>
      <c r="D74" s="4">
        <v>17</v>
      </c>
      <c r="E74" s="4">
        <v>4</v>
      </c>
      <c r="F74" s="8" t="s">
        <v>17</v>
      </c>
      <c r="G74" s="8" t="s">
        <v>18</v>
      </c>
      <c r="H74" s="4">
        <v>29.698799999999999</v>
      </c>
      <c r="I74" s="4">
        <v>63.37</v>
      </c>
      <c r="J74" s="4">
        <v>30.5</v>
      </c>
      <c r="K74" s="4">
        <v>36.07</v>
      </c>
      <c r="L74" s="4">
        <v>2</v>
      </c>
      <c r="M74" s="4">
        <v>5</v>
      </c>
      <c r="N74" s="4" t="s">
        <v>19</v>
      </c>
      <c r="O74" s="4" t="s">
        <v>30</v>
      </c>
      <c r="P74" s="4">
        <v>4</v>
      </c>
      <c r="Q74" s="4" t="s">
        <v>19</v>
      </c>
      <c r="R74" s="4" t="s">
        <v>20</v>
      </c>
      <c r="S74" s="4">
        <v>15.06</v>
      </c>
      <c r="T74" s="4">
        <v>16.72</v>
      </c>
      <c r="U74" s="4">
        <v>12.95</v>
      </c>
      <c r="V74" s="17">
        <f t="shared" si="23"/>
        <v>14.910000000000002</v>
      </c>
      <c r="W74" s="4">
        <v>10.27</v>
      </c>
      <c r="X74" s="4">
        <v>11.26</v>
      </c>
      <c r="Y74" s="4">
        <v>8.7200000000000006</v>
      </c>
      <c r="Z74" s="17">
        <f t="shared" si="24"/>
        <v>10.083333333333334</v>
      </c>
      <c r="AA74" s="4">
        <v>5.91</v>
      </c>
      <c r="AB74" s="4">
        <v>5.88</v>
      </c>
      <c r="AC74" s="4">
        <v>5.64</v>
      </c>
      <c r="AD74" s="17">
        <f t="shared" si="25"/>
        <v>5.81</v>
      </c>
      <c r="AE74" s="8">
        <f t="shared" si="26"/>
        <v>35.73184647634811</v>
      </c>
      <c r="AF74" s="9">
        <f t="shared" si="27"/>
        <v>38.704422983401209</v>
      </c>
      <c r="AG74" s="9">
        <f t="shared" si="28"/>
        <v>34.071982423386991</v>
      </c>
      <c r="AH74" s="9">
        <f t="shared" si="29"/>
        <v>19.355286258461689</v>
      </c>
      <c r="AI74" s="9">
        <f t="shared" si="30"/>
        <v>22.487145456100428</v>
      </c>
      <c r="AJ74" s="9">
        <f t="shared" si="31"/>
        <v>15.354786521641456</v>
      </c>
      <c r="AK74" s="9">
        <f t="shared" si="32"/>
        <v>21.174335232791989</v>
      </c>
      <c r="AL74" s="9">
        <f t="shared" si="33"/>
        <v>22.92487122650504</v>
      </c>
      <c r="AM74" s="9">
        <f t="shared" si="34"/>
        <v>18.254389499741492</v>
      </c>
      <c r="AN74" s="9">
        <f t="shared" si="35"/>
        <v>36.169417294378775</v>
      </c>
      <c r="AO74" s="9">
        <f t="shared" si="36"/>
        <v>19.06573941206786</v>
      </c>
      <c r="AP74" s="9">
        <f t="shared" si="37"/>
        <v>20.784531986346174</v>
      </c>
      <c r="AQ74" s="9">
        <f t="shared" si="38"/>
        <v>40.637322238999786</v>
      </c>
      <c r="AR74" s="9">
        <f t="shared" si="39"/>
        <v>44.762753146358797</v>
      </c>
      <c r="AS74" s="9">
        <f t="shared" si="40"/>
        <v>37.372041092035289</v>
      </c>
      <c r="AT74" s="9">
        <f t="shared" si="41"/>
        <v>40.924038825797957</v>
      </c>
      <c r="AU74" s="9">
        <f t="shared" si="42"/>
        <v>28.443593228923181</v>
      </c>
      <c r="AV74" s="9">
        <f t="shared" si="43"/>
        <v>30.15645020438685</v>
      </c>
      <c r="AW74" s="9">
        <f t="shared" si="44"/>
        <v>24.259054615823349</v>
      </c>
      <c r="AX74" s="9">
        <f t="shared" si="45"/>
        <v>27.619699349711127</v>
      </c>
      <c r="AY74" s="11">
        <v>4.5599999999999996</v>
      </c>
      <c r="AZ74" s="4">
        <v>10.3</v>
      </c>
      <c r="BA74" s="4">
        <v>3.93</v>
      </c>
      <c r="BB74" s="4"/>
      <c r="BC74" s="4"/>
      <c r="BD74" s="8" t="s">
        <v>19</v>
      </c>
      <c r="BE74" s="4">
        <v>5</v>
      </c>
      <c r="BF74" s="4">
        <v>2</v>
      </c>
      <c r="BG74" s="4">
        <v>2</v>
      </c>
      <c r="BH74" s="22"/>
    </row>
    <row r="75" spans="1:60" ht="13.2" x14ac:dyDescent="0.25">
      <c r="A75" s="20">
        <v>722</v>
      </c>
      <c r="B75" s="4"/>
      <c r="C75" s="4"/>
      <c r="D75" s="4">
        <v>1</v>
      </c>
      <c r="E75" s="4">
        <v>1</v>
      </c>
      <c r="F75" s="8" t="s">
        <v>17</v>
      </c>
      <c r="G75" s="8" t="s">
        <v>18</v>
      </c>
      <c r="H75" s="4">
        <v>51.103499999999997</v>
      </c>
      <c r="I75" s="4">
        <v>69.94</v>
      </c>
      <c r="J75" s="4">
        <v>39.33</v>
      </c>
      <c r="K75" s="4">
        <v>40.6</v>
      </c>
      <c r="L75" s="4">
        <v>5</v>
      </c>
      <c r="M75" s="4">
        <v>6</v>
      </c>
      <c r="N75" s="4" t="s">
        <v>19</v>
      </c>
      <c r="O75" s="4" t="s">
        <v>30</v>
      </c>
      <c r="P75" s="4">
        <v>8</v>
      </c>
      <c r="Q75" s="4" t="s">
        <v>19</v>
      </c>
      <c r="R75" s="4" t="s">
        <v>20</v>
      </c>
      <c r="S75" s="4">
        <v>11.89</v>
      </c>
      <c r="T75" s="4">
        <v>12.4</v>
      </c>
      <c r="U75" s="4">
        <v>11.73</v>
      </c>
      <c r="V75" s="17">
        <f t="shared" si="23"/>
        <v>12.006666666666666</v>
      </c>
      <c r="W75" s="4">
        <v>8.2899999999999991</v>
      </c>
      <c r="X75" s="4">
        <v>8.57</v>
      </c>
      <c r="Y75" s="4">
        <v>8.1999999999999993</v>
      </c>
      <c r="Z75" s="17">
        <f t="shared" si="24"/>
        <v>8.3533333333333335</v>
      </c>
      <c r="AA75" s="4">
        <v>6.07</v>
      </c>
      <c r="AB75" s="4">
        <v>6.13</v>
      </c>
      <c r="AC75" s="4">
        <v>6.15</v>
      </c>
      <c r="AD75" s="17">
        <f t="shared" si="25"/>
        <v>6.1166666666666671</v>
      </c>
      <c r="AE75" s="8">
        <f t="shared" si="26"/>
        <v>30.162458148279864</v>
      </c>
      <c r="AF75" s="9">
        <f t="shared" si="27"/>
        <v>31.446610883849672</v>
      </c>
      <c r="AG75" s="9">
        <f t="shared" si="28"/>
        <v>29.770512143423272</v>
      </c>
      <c r="AH75" s="9">
        <f t="shared" si="29"/>
        <v>12.244773370613682</v>
      </c>
      <c r="AI75" s="9">
        <f t="shared" si="30"/>
        <v>12.985643476887937</v>
      </c>
      <c r="AJ75" s="9">
        <f t="shared" si="31"/>
        <v>11.633534904475928</v>
      </c>
      <c r="AK75" s="9">
        <f t="shared" si="32"/>
        <v>17.399137713420089</v>
      </c>
      <c r="AL75" s="9">
        <f t="shared" si="33"/>
        <v>17.958492310466319</v>
      </c>
      <c r="AM75" s="9">
        <f t="shared" si="34"/>
        <v>17.217344866801142</v>
      </c>
      <c r="AN75" s="9">
        <f t="shared" si="35"/>
        <v>30.459860391850938</v>
      </c>
      <c r="AO75" s="9">
        <f t="shared" si="36"/>
        <v>12.287983917325848</v>
      </c>
      <c r="AP75" s="9">
        <f t="shared" si="37"/>
        <v>17.524991630229184</v>
      </c>
      <c r="AQ75" s="9">
        <f t="shared" si="38"/>
        <v>32.553162003781203</v>
      </c>
      <c r="AR75" s="9">
        <f t="shared" si="39"/>
        <v>34.022290819242237</v>
      </c>
      <c r="AS75" s="9">
        <f t="shared" si="40"/>
        <v>31.962830407449403</v>
      </c>
      <c r="AT75" s="9">
        <f t="shared" si="41"/>
        <v>32.846094410157612</v>
      </c>
      <c r="AU75" s="9">
        <f t="shared" si="42"/>
        <v>22.095220561856802</v>
      </c>
      <c r="AV75" s="9">
        <f t="shared" si="43"/>
        <v>22.43781288322679</v>
      </c>
      <c r="AW75" s="9">
        <f t="shared" si="44"/>
        <v>21.344253755496279</v>
      </c>
      <c r="AX75" s="9">
        <f t="shared" si="45"/>
        <v>21.959095733526624</v>
      </c>
      <c r="AY75" s="11">
        <v>5.4</v>
      </c>
      <c r="AZ75" s="4">
        <v>10.9</v>
      </c>
      <c r="BA75" s="4">
        <v>3.49</v>
      </c>
      <c r="BB75" s="4"/>
      <c r="BC75" s="4"/>
      <c r="BD75" s="8" t="s">
        <v>19</v>
      </c>
      <c r="BE75" s="4">
        <v>6</v>
      </c>
      <c r="BF75" s="4">
        <v>2</v>
      </c>
      <c r="BG75" s="4">
        <v>2</v>
      </c>
      <c r="BH75" s="22"/>
    </row>
    <row r="76" spans="1:60" ht="13.2" x14ac:dyDescent="0.25">
      <c r="A76" s="20">
        <v>722</v>
      </c>
      <c r="B76" s="4"/>
      <c r="C76" s="4"/>
      <c r="D76" s="4">
        <v>1</v>
      </c>
      <c r="E76" s="4">
        <v>2</v>
      </c>
      <c r="F76" s="8" t="s">
        <v>17</v>
      </c>
      <c r="G76" s="8" t="s">
        <v>18</v>
      </c>
      <c r="H76" s="4">
        <v>29.813199999999998</v>
      </c>
      <c r="I76" s="4">
        <v>63.54</v>
      </c>
      <c r="J76" s="4">
        <v>31.28</v>
      </c>
      <c r="K76" s="4">
        <v>35.85</v>
      </c>
      <c r="L76" s="4">
        <v>2</v>
      </c>
      <c r="M76" s="4">
        <v>6</v>
      </c>
      <c r="N76" s="4" t="s">
        <v>19</v>
      </c>
      <c r="O76" s="4" t="s">
        <v>28</v>
      </c>
      <c r="P76" s="4">
        <v>4</v>
      </c>
      <c r="Q76" s="4" t="s">
        <v>19</v>
      </c>
      <c r="R76" s="4" t="s">
        <v>20</v>
      </c>
      <c r="S76" s="4">
        <v>12.25</v>
      </c>
      <c r="T76" s="4">
        <v>13.72</v>
      </c>
      <c r="U76" s="4">
        <v>11.87</v>
      </c>
      <c r="V76" s="17">
        <f t="shared" si="23"/>
        <v>12.613333333333332</v>
      </c>
      <c r="W76" s="4">
        <v>8.1300000000000008</v>
      </c>
      <c r="X76" s="4">
        <v>9.14</v>
      </c>
      <c r="Y76" s="4">
        <v>7.95</v>
      </c>
      <c r="Z76" s="17">
        <f t="shared" si="24"/>
        <v>8.4066666666666681</v>
      </c>
      <c r="AA76" s="4">
        <v>5.59</v>
      </c>
      <c r="AB76" s="4">
        <v>5.92</v>
      </c>
      <c r="AC76" s="4">
        <v>5.5</v>
      </c>
      <c r="AD76" s="17">
        <f t="shared" si="25"/>
        <v>5.669999999999999</v>
      </c>
      <c r="AE76" s="8">
        <f t="shared" si="26"/>
        <v>34.174855166399901</v>
      </c>
      <c r="AF76" s="9">
        <f t="shared" si="27"/>
        <v>35.882536266806653</v>
      </c>
      <c r="AG76" s="9">
        <f t="shared" si="28"/>
        <v>32.999029232664071</v>
      </c>
      <c r="AH76" s="9">
        <f t="shared" si="29"/>
        <v>13.51596091443133</v>
      </c>
      <c r="AI76" s="9">
        <f t="shared" si="30"/>
        <v>15.688636909182414</v>
      </c>
      <c r="AJ76" s="9">
        <f t="shared" si="31"/>
        <v>13.232823401761134</v>
      </c>
      <c r="AK76" s="9">
        <f t="shared" si="32"/>
        <v>17.07525963616915</v>
      </c>
      <c r="AL76" s="9">
        <f t="shared" si="33"/>
        <v>19.069622182167862</v>
      </c>
      <c r="AM76" s="9">
        <f t="shared" si="34"/>
        <v>16.707063457302311</v>
      </c>
      <c r="AN76" s="9">
        <f t="shared" si="35"/>
        <v>34.35214022195688</v>
      </c>
      <c r="AO76" s="9">
        <f t="shared" si="36"/>
        <v>14.145807075124958</v>
      </c>
      <c r="AP76" s="9">
        <f t="shared" si="37"/>
        <v>17.617315091879775</v>
      </c>
      <c r="AQ76" s="9">
        <f t="shared" si="38"/>
        <v>36.750536391797674</v>
      </c>
      <c r="AR76" s="9">
        <f t="shared" si="39"/>
        <v>39.162351014805729</v>
      </c>
      <c r="AS76" s="9">
        <f t="shared" si="40"/>
        <v>35.553390070152453</v>
      </c>
      <c r="AT76" s="9">
        <f t="shared" si="41"/>
        <v>37.15542582558529</v>
      </c>
      <c r="AU76" s="9">
        <f t="shared" si="42"/>
        <v>21.578515364299975</v>
      </c>
      <c r="AV76" s="9">
        <f t="shared" si="43"/>
        <v>23.616010635892032</v>
      </c>
      <c r="AW76" s="9">
        <f t="shared" si="44"/>
        <v>21.851103479362951</v>
      </c>
      <c r="AX76" s="9">
        <f t="shared" si="45"/>
        <v>22.348543159851655</v>
      </c>
      <c r="AY76" s="11">
        <v>4.2300000000000004</v>
      </c>
      <c r="AZ76" s="4">
        <v>10.199999999999999</v>
      </c>
      <c r="BA76" s="4">
        <v>3.75</v>
      </c>
      <c r="BB76" s="4"/>
      <c r="BC76" s="4"/>
      <c r="BD76" s="8" t="s">
        <v>19</v>
      </c>
      <c r="BE76" s="4">
        <v>6</v>
      </c>
      <c r="BF76" s="4">
        <v>2</v>
      </c>
      <c r="BG76" s="4">
        <v>2</v>
      </c>
      <c r="BH76" s="22"/>
    </row>
    <row r="77" spans="1:60" ht="13.2" x14ac:dyDescent="0.25">
      <c r="A77" s="20">
        <v>722</v>
      </c>
      <c r="B77" s="4"/>
      <c r="C77" s="4"/>
      <c r="D77" s="4">
        <v>1</v>
      </c>
      <c r="E77" s="4">
        <v>3</v>
      </c>
      <c r="F77" s="8" t="s">
        <v>17</v>
      </c>
      <c r="G77" s="8" t="s">
        <v>18</v>
      </c>
      <c r="H77" s="4">
        <v>44.756500000000003</v>
      </c>
      <c r="I77" s="4">
        <v>67.58</v>
      </c>
      <c r="J77" s="4">
        <v>36.96</v>
      </c>
      <c r="K77" s="4">
        <v>38.17</v>
      </c>
      <c r="L77" s="4">
        <v>3</v>
      </c>
      <c r="M77" s="4">
        <v>6</v>
      </c>
      <c r="N77" s="4" t="s">
        <v>19</v>
      </c>
      <c r="O77" s="4" t="s">
        <v>28</v>
      </c>
      <c r="P77" s="4">
        <v>4</v>
      </c>
      <c r="Q77" s="4" t="s">
        <v>19</v>
      </c>
      <c r="R77" s="4" t="s">
        <v>19</v>
      </c>
      <c r="S77" s="4">
        <v>11.48</v>
      </c>
      <c r="T77" s="4">
        <v>11.68</v>
      </c>
      <c r="U77" s="4">
        <v>10.57</v>
      </c>
      <c r="V77" s="17">
        <f t="shared" si="23"/>
        <v>11.243333333333334</v>
      </c>
      <c r="W77" s="4">
        <v>7.82</v>
      </c>
      <c r="X77" s="4">
        <v>8</v>
      </c>
      <c r="Y77" s="4">
        <v>7.61</v>
      </c>
      <c r="Z77" s="17">
        <f t="shared" si="24"/>
        <v>7.81</v>
      </c>
      <c r="AA77" s="4">
        <v>5.41</v>
      </c>
      <c r="AB77" s="4">
        <v>5.55</v>
      </c>
      <c r="AC77" s="4">
        <v>5.76</v>
      </c>
      <c r="AD77" s="17">
        <f t="shared" si="25"/>
        <v>5.5733333333333333</v>
      </c>
      <c r="AE77" s="8">
        <f t="shared" si="26"/>
        <v>31.274465096724519</v>
      </c>
      <c r="AF77" s="9">
        <f t="shared" si="27"/>
        <v>31.158369483605231</v>
      </c>
      <c r="AG77" s="9">
        <f t="shared" si="28"/>
        <v>26.243412345313079</v>
      </c>
      <c r="AH77" s="9">
        <f t="shared" si="29"/>
        <v>13.124433359672761</v>
      </c>
      <c r="AI77" s="9">
        <f t="shared" si="30"/>
        <v>13.214145264567589</v>
      </c>
      <c r="AJ77" s="9">
        <f t="shared" si="31"/>
        <v>11.005456755617427</v>
      </c>
      <c r="AK77" s="9">
        <f t="shared" si="32"/>
        <v>16.438544973534192</v>
      </c>
      <c r="AL77" s="9">
        <f t="shared" si="33"/>
        <v>16.809754647055804</v>
      </c>
      <c r="AM77" s="9">
        <f t="shared" si="34"/>
        <v>16.000024999990231</v>
      </c>
      <c r="AN77" s="9">
        <f t="shared" si="35"/>
        <v>29.558748975214275</v>
      </c>
      <c r="AO77" s="9">
        <f t="shared" si="36"/>
        <v>12.448011793285923</v>
      </c>
      <c r="AP77" s="9">
        <f t="shared" si="37"/>
        <v>16.416108206860077</v>
      </c>
      <c r="AQ77" s="9">
        <f t="shared" si="38"/>
        <v>33.916705590294754</v>
      </c>
      <c r="AR77" s="9">
        <f t="shared" si="39"/>
        <v>33.844609968944177</v>
      </c>
      <c r="AS77" s="9">
        <f t="shared" si="40"/>
        <v>28.45763113693577</v>
      </c>
      <c r="AT77" s="9">
        <f t="shared" si="41"/>
        <v>32.072982232058237</v>
      </c>
      <c r="AU77" s="9">
        <f t="shared" si="42"/>
        <v>22.765519212410165</v>
      </c>
      <c r="AV77" s="9">
        <f t="shared" si="43"/>
        <v>22.981614995117827</v>
      </c>
      <c r="AW77" s="9">
        <f t="shared" si="44"/>
        <v>22.751263771095942</v>
      </c>
      <c r="AX77" s="9">
        <f t="shared" si="45"/>
        <v>22.832799326207976</v>
      </c>
      <c r="AY77" s="11">
        <v>4.78</v>
      </c>
      <c r="AZ77" s="4">
        <v>10</v>
      </c>
      <c r="BA77" s="4">
        <v>3.93</v>
      </c>
      <c r="BB77" s="4"/>
      <c r="BC77" s="4"/>
      <c r="BD77" s="8" t="s">
        <v>19</v>
      </c>
      <c r="BE77" s="4">
        <v>5</v>
      </c>
      <c r="BF77" s="4">
        <v>2</v>
      </c>
      <c r="BG77" s="4">
        <v>2</v>
      </c>
      <c r="BH77" s="22"/>
    </row>
    <row r="78" spans="1:60" ht="13.2" x14ac:dyDescent="0.25">
      <c r="A78" s="20">
        <v>722</v>
      </c>
      <c r="B78" s="4"/>
      <c r="C78" s="4"/>
      <c r="D78" s="4">
        <v>1</v>
      </c>
      <c r="E78" s="4">
        <v>4</v>
      </c>
      <c r="F78" s="8" t="s">
        <v>17</v>
      </c>
      <c r="G78" s="8" t="s">
        <v>18</v>
      </c>
      <c r="H78" s="4">
        <v>36.491599999999998</v>
      </c>
      <c r="I78" s="4">
        <v>63.4</v>
      </c>
      <c r="J78" s="4">
        <v>35.049999999999997</v>
      </c>
      <c r="K78" s="4">
        <v>35.25</v>
      </c>
      <c r="L78" s="4">
        <v>5</v>
      </c>
      <c r="M78" s="4">
        <v>6</v>
      </c>
      <c r="N78" s="4" t="s">
        <v>19</v>
      </c>
      <c r="O78" s="4" t="s">
        <v>28</v>
      </c>
      <c r="P78" s="4">
        <v>4</v>
      </c>
      <c r="Q78" s="4" t="s">
        <v>19</v>
      </c>
      <c r="R78" s="4" t="s">
        <v>20</v>
      </c>
      <c r="S78" s="4">
        <v>11.59</v>
      </c>
      <c r="T78" s="4">
        <v>13.39</v>
      </c>
      <c r="U78" s="4">
        <v>14.67</v>
      </c>
      <c r="V78" s="17">
        <f t="shared" si="23"/>
        <v>13.216666666666667</v>
      </c>
      <c r="W78" s="4">
        <v>7.92</v>
      </c>
      <c r="X78" s="4">
        <v>9.0299999999999994</v>
      </c>
      <c r="Y78" s="4">
        <v>10.19</v>
      </c>
      <c r="Z78" s="17">
        <f t="shared" si="24"/>
        <v>9.0466666666666669</v>
      </c>
      <c r="AA78" s="4">
        <v>5.44</v>
      </c>
      <c r="AB78" s="4">
        <v>5.84</v>
      </c>
      <c r="AC78" s="4">
        <v>5.58</v>
      </c>
      <c r="AD78" s="17">
        <f t="shared" si="25"/>
        <v>5.62</v>
      </c>
      <c r="AE78" s="8">
        <f t="shared" si="26"/>
        <v>31.201062349832693</v>
      </c>
      <c r="AF78" s="9">
        <f t="shared" si="27"/>
        <v>34.531773209625641</v>
      </c>
      <c r="AG78" s="9">
        <f t="shared" si="28"/>
        <v>33.803100394888624</v>
      </c>
      <c r="AH78" s="9">
        <f t="shared" si="29"/>
        <v>13.362380257661938</v>
      </c>
      <c r="AI78" s="9">
        <f t="shared" si="30"/>
        <v>15.62725903706157</v>
      </c>
      <c r="AJ78" s="9">
        <f t="shared" si="31"/>
        <v>20.372145437916366</v>
      </c>
      <c r="AK78" s="9">
        <f t="shared" si="32"/>
        <v>16.645293688371069</v>
      </c>
      <c r="AL78" s="9">
        <f t="shared" si="33"/>
        <v>18.857951747054784</v>
      </c>
      <c r="AM78" s="9">
        <f t="shared" si="34"/>
        <v>21.029264102868694</v>
      </c>
      <c r="AN78" s="9">
        <f t="shared" si="35"/>
        <v>33.178645318115656</v>
      </c>
      <c r="AO78" s="9">
        <f t="shared" si="36"/>
        <v>16.453928244213291</v>
      </c>
      <c r="AP78" s="9">
        <f t="shared" si="37"/>
        <v>18.844169846098183</v>
      </c>
      <c r="AQ78" s="9">
        <f t="shared" si="38"/>
        <v>33.942001972607642</v>
      </c>
      <c r="AR78" s="9">
        <f t="shared" si="39"/>
        <v>37.903226591049496</v>
      </c>
      <c r="AS78" s="9">
        <f t="shared" si="40"/>
        <v>39.467377744797489</v>
      </c>
      <c r="AT78" s="9">
        <f t="shared" si="41"/>
        <v>37.104202102818213</v>
      </c>
      <c r="AU78" s="9">
        <f t="shared" si="42"/>
        <v>23.183845075751883</v>
      </c>
      <c r="AV78" s="9">
        <f t="shared" si="43"/>
        <v>24.34899897563821</v>
      </c>
      <c r="AW78" s="9">
        <f t="shared" si="44"/>
        <v>31.076147588533924</v>
      </c>
      <c r="AX78" s="9">
        <f t="shared" si="45"/>
        <v>26.202997213308006</v>
      </c>
      <c r="AY78" s="11">
        <v>5.15</v>
      </c>
      <c r="AZ78" s="4">
        <v>10.1</v>
      </c>
      <c r="BA78" s="4">
        <v>3.86</v>
      </c>
      <c r="BB78" s="4"/>
      <c r="BC78" s="4"/>
      <c r="BD78" s="8" t="s">
        <v>26</v>
      </c>
      <c r="BE78" s="4" t="s">
        <v>26</v>
      </c>
      <c r="BF78" s="4">
        <v>2</v>
      </c>
      <c r="BG78" s="4">
        <v>2</v>
      </c>
      <c r="BH78" s="22"/>
    </row>
    <row r="79" spans="1:60" ht="13.2" x14ac:dyDescent="0.25">
      <c r="A79" s="20"/>
      <c r="B79" s="4"/>
      <c r="C79" s="4"/>
      <c r="D79" s="4">
        <v>20</v>
      </c>
      <c r="E79" s="4">
        <v>1</v>
      </c>
      <c r="F79" s="8" t="s">
        <v>17</v>
      </c>
      <c r="G79" s="8" t="s">
        <v>18</v>
      </c>
      <c r="H79" s="4">
        <v>49.487099999999998</v>
      </c>
      <c r="I79" s="4">
        <v>71.260000000000005</v>
      </c>
      <c r="J79" s="4">
        <v>39.51</v>
      </c>
      <c r="K79" s="4">
        <v>43.13</v>
      </c>
      <c r="L79" s="4">
        <v>4</v>
      </c>
      <c r="M79" s="4">
        <v>6</v>
      </c>
      <c r="N79" s="4" t="s">
        <v>19</v>
      </c>
      <c r="O79" s="4" t="s">
        <v>30</v>
      </c>
      <c r="P79" s="4">
        <v>8</v>
      </c>
      <c r="Q79" s="4" t="s">
        <v>19</v>
      </c>
      <c r="R79" s="4" t="s">
        <v>20</v>
      </c>
      <c r="S79" s="4">
        <v>13.46</v>
      </c>
      <c r="T79" s="4">
        <v>14.92</v>
      </c>
      <c r="U79" s="4">
        <v>14.21</v>
      </c>
      <c r="V79" s="17">
        <f t="shared" si="23"/>
        <v>14.196666666666667</v>
      </c>
      <c r="W79" s="4">
        <v>9.1</v>
      </c>
      <c r="X79" s="4">
        <v>10.11</v>
      </c>
      <c r="Y79" s="4">
        <v>9.6300000000000008</v>
      </c>
      <c r="Z79" s="17">
        <f t="shared" si="24"/>
        <v>9.6133333333333351</v>
      </c>
      <c r="AA79" s="4">
        <v>6.48</v>
      </c>
      <c r="AB79" s="4">
        <v>7.09</v>
      </c>
      <c r="AC79" s="4">
        <v>6.72</v>
      </c>
      <c r="AD79" s="17">
        <f t="shared" si="25"/>
        <v>6.7633333333333328</v>
      </c>
      <c r="AE79" s="8">
        <f t="shared" si="26"/>
        <v>34.432903187822049</v>
      </c>
      <c r="AF79" s="9">
        <f t="shared" si="27"/>
        <v>36.071927554998027</v>
      </c>
      <c r="AG79" s="9">
        <f t="shared" si="28"/>
        <v>35.194277060179694</v>
      </c>
      <c r="AH79" s="9">
        <f t="shared" si="29"/>
        <v>13.486234559528526</v>
      </c>
      <c r="AI79" s="9">
        <f t="shared" si="30"/>
        <v>14.590906804983527</v>
      </c>
      <c r="AJ79" s="9">
        <f t="shared" si="31"/>
        <v>14.358670040093363</v>
      </c>
      <c r="AK79" s="9">
        <f t="shared" si="32"/>
        <v>18.99279925927619</v>
      </c>
      <c r="AL79" s="9">
        <f t="shared" si="33"/>
        <v>20.883622381756375</v>
      </c>
      <c r="AM79" s="9">
        <f t="shared" si="34"/>
        <v>19.997399906104334</v>
      </c>
      <c r="AN79" s="9">
        <f t="shared" si="35"/>
        <v>35.233035934333259</v>
      </c>
      <c r="AO79" s="9">
        <f t="shared" si="36"/>
        <v>14.145270468201806</v>
      </c>
      <c r="AP79" s="9">
        <f t="shared" si="37"/>
        <v>19.957940515712298</v>
      </c>
      <c r="AQ79" s="9">
        <f t="shared" si="38"/>
        <v>36.979769395394392</v>
      </c>
      <c r="AR79" s="9">
        <f t="shared" si="39"/>
        <v>38.911161880940291</v>
      </c>
      <c r="AS79" s="9">
        <f t="shared" si="40"/>
        <v>38.0106372362917</v>
      </c>
      <c r="AT79" s="9">
        <f t="shared" si="41"/>
        <v>37.967189504208797</v>
      </c>
      <c r="AU79" s="9">
        <f t="shared" si="42"/>
        <v>21.388643233417557</v>
      </c>
      <c r="AV79" s="9">
        <f t="shared" si="43"/>
        <v>22.023075645083363</v>
      </c>
      <c r="AW79" s="9">
        <f t="shared" si="44"/>
        <v>22.194629106168009</v>
      </c>
      <c r="AX79" s="9">
        <f t="shared" si="45"/>
        <v>21.86878266155631</v>
      </c>
      <c r="AY79" s="11">
        <v>5.55</v>
      </c>
      <c r="AZ79" s="4">
        <v>11.4</v>
      </c>
      <c r="BA79" s="4">
        <v>3.31</v>
      </c>
      <c r="BB79" s="4"/>
      <c r="BC79" s="4"/>
      <c r="BD79" s="8" t="s">
        <v>19</v>
      </c>
      <c r="BE79" s="4">
        <v>4</v>
      </c>
      <c r="BF79" s="4">
        <v>2</v>
      </c>
      <c r="BG79" s="4">
        <v>2</v>
      </c>
      <c r="BH79" s="22"/>
    </row>
    <row r="80" spans="1:60" ht="13.2" x14ac:dyDescent="0.25">
      <c r="A80" s="20"/>
      <c r="B80" s="4"/>
      <c r="C80" s="4"/>
      <c r="D80" s="4">
        <v>20</v>
      </c>
      <c r="E80" s="4">
        <v>2</v>
      </c>
      <c r="F80" s="8" t="s">
        <v>17</v>
      </c>
      <c r="G80" s="8" t="s">
        <v>18</v>
      </c>
      <c r="H80" s="4">
        <v>43.832500000000003</v>
      </c>
      <c r="I80" s="4">
        <v>63.34</v>
      </c>
      <c r="J80" s="4">
        <v>38.630000000000003</v>
      </c>
      <c r="K80" s="4">
        <v>36.54</v>
      </c>
      <c r="L80" s="4">
        <v>5</v>
      </c>
      <c r="M80" s="4">
        <v>5</v>
      </c>
      <c r="N80" s="4" t="s">
        <v>19</v>
      </c>
      <c r="O80" s="4" t="s">
        <v>30</v>
      </c>
      <c r="P80" s="4">
        <v>8</v>
      </c>
      <c r="Q80" s="4" t="s">
        <v>19</v>
      </c>
      <c r="R80" s="4" t="s">
        <v>20</v>
      </c>
      <c r="S80" s="4">
        <v>12.56</v>
      </c>
      <c r="T80" s="4">
        <v>18.16</v>
      </c>
      <c r="U80" s="4">
        <v>15.8</v>
      </c>
      <c r="V80" s="17">
        <f t="shared" si="23"/>
        <v>15.506666666666666</v>
      </c>
      <c r="W80" s="4">
        <v>8.77</v>
      </c>
      <c r="X80" s="4">
        <v>12.98</v>
      </c>
      <c r="Y80" s="4">
        <v>11.02</v>
      </c>
      <c r="Z80" s="17">
        <f t="shared" si="24"/>
        <v>10.923333333333332</v>
      </c>
      <c r="AA80" s="4">
        <v>5.57</v>
      </c>
      <c r="AB80" s="4">
        <v>7.15</v>
      </c>
      <c r="AC80" s="4">
        <v>6.56</v>
      </c>
      <c r="AD80" s="17">
        <f t="shared" si="25"/>
        <v>6.4266666666666667</v>
      </c>
      <c r="AE80" s="8">
        <f t="shared" si="26"/>
        <v>30.892038666738841</v>
      </c>
      <c r="AF80" s="9">
        <f t="shared" si="27"/>
        <v>35.053240573957282</v>
      </c>
      <c r="AG80" s="9">
        <f t="shared" si="28"/>
        <v>34.74096106257732</v>
      </c>
      <c r="AH80" s="9">
        <f t="shared" si="29"/>
        <v>15.795928566727651</v>
      </c>
      <c r="AI80" s="9">
        <f t="shared" si="30"/>
        <v>22.847084563258068</v>
      </c>
      <c r="AJ80" s="9">
        <f t="shared" si="31"/>
        <v>19.258305841289886</v>
      </c>
      <c r="AK80" s="9">
        <f t="shared" si="32"/>
        <v>18.352455516309163</v>
      </c>
      <c r="AL80" s="9">
        <f t="shared" si="33"/>
        <v>25.792209800392222</v>
      </c>
      <c r="AM80" s="9">
        <f t="shared" si="34"/>
        <v>22.507807000658971</v>
      </c>
      <c r="AN80" s="9">
        <f t="shared" si="35"/>
        <v>33.562080101091148</v>
      </c>
      <c r="AO80" s="9">
        <f t="shared" si="36"/>
        <v>19.300439657091868</v>
      </c>
      <c r="AP80" s="9">
        <f t="shared" si="37"/>
        <v>22.217490772453448</v>
      </c>
      <c r="AQ80" s="9">
        <f t="shared" si="38"/>
        <v>34.696244930430879</v>
      </c>
      <c r="AR80" s="9">
        <f t="shared" si="39"/>
        <v>41.841593513827718</v>
      </c>
      <c r="AS80" s="9">
        <f t="shared" si="40"/>
        <v>39.721741142958145</v>
      </c>
      <c r="AT80" s="9">
        <f t="shared" si="41"/>
        <v>38.753193195738909</v>
      </c>
      <c r="AU80" s="9">
        <f t="shared" si="42"/>
        <v>27.081879663801697</v>
      </c>
      <c r="AV80" s="9">
        <f t="shared" si="43"/>
        <v>33.095600198846356</v>
      </c>
      <c r="AW80" s="9">
        <f t="shared" si="44"/>
        <v>29.001358299291713</v>
      </c>
      <c r="AX80" s="9">
        <f t="shared" si="45"/>
        <v>29.726279387313255</v>
      </c>
      <c r="AY80" s="11">
        <v>4.6100000000000003</v>
      </c>
      <c r="AZ80" s="4">
        <v>11</v>
      </c>
      <c r="BA80" s="4">
        <v>3.27</v>
      </c>
      <c r="BB80" s="4"/>
      <c r="BC80" s="4"/>
      <c r="BD80" s="8" t="s">
        <v>19</v>
      </c>
      <c r="BE80" s="4">
        <v>6</v>
      </c>
      <c r="BF80" s="4">
        <v>2</v>
      </c>
      <c r="BG80" s="4">
        <v>2</v>
      </c>
      <c r="BH80" s="22"/>
    </row>
    <row r="81" spans="1:60" ht="13.2" x14ac:dyDescent="0.25">
      <c r="A81" s="20"/>
      <c r="B81" s="4"/>
      <c r="C81" s="4"/>
      <c r="D81" s="4">
        <v>20</v>
      </c>
      <c r="E81" s="4">
        <v>3</v>
      </c>
      <c r="F81" s="8" t="s">
        <v>17</v>
      </c>
      <c r="G81" s="8" t="s">
        <v>18</v>
      </c>
      <c r="H81" s="4">
        <v>31.4542</v>
      </c>
      <c r="I81" s="4">
        <v>59.39</v>
      </c>
      <c r="J81" s="4">
        <v>34.67</v>
      </c>
      <c r="K81" s="4">
        <v>36.25</v>
      </c>
      <c r="L81" s="4">
        <v>5</v>
      </c>
      <c r="M81" s="4">
        <v>6</v>
      </c>
      <c r="N81" s="4" t="s">
        <v>19</v>
      </c>
      <c r="O81" s="4" t="s">
        <v>30</v>
      </c>
      <c r="P81" s="4">
        <v>8</v>
      </c>
      <c r="Q81" s="4" t="s">
        <v>19</v>
      </c>
      <c r="R81" s="4" t="s">
        <v>20</v>
      </c>
      <c r="S81" s="4">
        <v>11.4</v>
      </c>
      <c r="T81" s="4">
        <v>12.77</v>
      </c>
      <c r="U81" s="4">
        <v>11.97</v>
      </c>
      <c r="V81" s="17">
        <f t="shared" si="23"/>
        <v>12.046666666666667</v>
      </c>
      <c r="W81" s="4">
        <v>7.89</v>
      </c>
      <c r="X81" s="4">
        <v>8.5</v>
      </c>
      <c r="Y81" s="4">
        <v>8.11</v>
      </c>
      <c r="Z81" s="17">
        <f t="shared" si="24"/>
        <v>8.1666666666666661</v>
      </c>
      <c r="AA81" s="4">
        <v>5.57</v>
      </c>
      <c r="AB81" s="4">
        <v>5.74</v>
      </c>
      <c r="AC81" s="4">
        <v>5.68</v>
      </c>
      <c r="AD81" s="17">
        <f t="shared" si="25"/>
        <v>5.663333333333334</v>
      </c>
      <c r="AE81" s="8">
        <f t="shared" si="26"/>
        <v>30.05286581573699</v>
      </c>
      <c r="AF81" s="9">
        <f t="shared" si="27"/>
        <v>34.67907596172423</v>
      </c>
      <c r="AG81" s="9">
        <f t="shared" si="28"/>
        <v>32.318751821445559</v>
      </c>
      <c r="AH81" s="9">
        <f t="shared" si="29"/>
        <v>12.745844607636819</v>
      </c>
      <c r="AI81" s="9">
        <f t="shared" si="30"/>
        <v>14.219264304509572</v>
      </c>
      <c r="AJ81" s="9">
        <f t="shared" si="31"/>
        <v>13.096911045587451</v>
      </c>
      <c r="AK81" s="9">
        <f t="shared" si="32"/>
        <v>16.58340682003648</v>
      </c>
      <c r="AL81" s="9">
        <f t="shared" si="33"/>
        <v>17.819520990102745</v>
      </c>
      <c r="AM81" s="9">
        <f t="shared" si="34"/>
        <v>17.034551608883689</v>
      </c>
      <c r="AN81" s="9">
        <f t="shared" si="35"/>
        <v>32.350231199635594</v>
      </c>
      <c r="AO81" s="9">
        <f t="shared" si="36"/>
        <v>13.354006652577946</v>
      </c>
      <c r="AP81" s="9">
        <f t="shared" si="37"/>
        <v>17.145826473007638</v>
      </c>
      <c r="AQ81" s="9">
        <f t="shared" si="38"/>
        <v>32.644008615681955</v>
      </c>
      <c r="AR81" s="9">
        <f t="shared" si="39"/>
        <v>37.481005681818878</v>
      </c>
      <c r="AS81" s="9">
        <f t="shared" si="40"/>
        <v>34.871633145469701</v>
      </c>
      <c r="AT81" s="9">
        <f t="shared" si="41"/>
        <v>34.998882480990176</v>
      </c>
      <c r="AU81" s="9">
        <f t="shared" si="42"/>
        <v>22.982486297484975</v>
      </c>
      <c r="AV81" s="9">
        <f t="shared" si="43"/>
        <v>22.294821723116399</v>
      </c>
      <c r="AW81" s="9">
        <f t="shared" si="44"/>
        <v>22.059851239500578</v>
      </c>
      <c r="AX81" s="9">
        <f t="shared" si="45"/>
        <v>22.445719753367317</v>
      </c>
      <c r="AY81" s="11">
        <v>4.4400000000000004</v>
      </c>
      <c r="AZ81" s="4">
        <v>10.9</v>
      </c>
      <c r="BA81" s="4">
        <v>3.46</v>
      </c>
      <c r="BB81" s="4"/>
      <c r="BC81" s="4"/>
      <c r="BD81" s="8" t="s">
        <v>19</v>
      </c>
      <c r="BE81" s="4">
        <v>4</v>
      </c>
      <c r="BF81" s="4">
        <v>2</v>
      </c>
      <c r="BG81" s="4">
        <v>2</v>
      </c>
      <c r="BH81" s="22"/>
    </row>
    <row r="82" spans="1:60" ht="13.2" x14ac:dyDescent="0.25">
      <c r="A82" s="23"/>
      <c r="B82" s="5"/>
      <c r="C82" s="5"/>
      <c r="D82" s="5">
        <v>20</v>
      </c>
      <c r="E82" s="5">
        <v>4</v>
      </c>
      <c r="F82" s="24" t="s">
        <v>17</v>
      </c>
      <c r="G82" s="24" t="s">
        <v>18</v>
      </c>
      <c r="H82" s="5">
        <v>30.801600000000001</v>
      </c>
      <c r="I82" s="5">
        <v>64.040000000000006</v>
      </c>
      <c r="J82" s="5">
        <v>37.76</v>
      </c>
      <c r="K82" s="5">
        <v>35.479999999999997</v>
      </c>
      <c r="L82" s="5">
        <v>4</v>
      </c>
      <c r="M82" s="5">
        <v>6</v>
      </c>
      <c r="N82" s="5" t="s">
        <v>19</v>
      </c>
      <c r="O82" s="5" t="s">
        <v>28</v>
      </c>
      <c r="P82" s="5">
        <v>5</v>
      </c>
      <c r="Q82" s="5" t="s">
        <v>19</v>
      </c>
      <c r="R82" s="5" t="s">
        <v>20</v>
      </c>
      <c r="S82" s="5">
        <v>16.260000000000002</v>
      </c>
      <c r="T82" s="5">
        <v>14.8</v>
      </c>
      <c r="U82" s="5">
        <v>15.6</v>
      </c>
      <c r="V82" s="25">
        <f t="shared" si="23"/>
        <v>15.553333333333335</v>
      </c>
      <c r="W82" s="5">
        <v>11.01</v>
      </c>
      <c r="X82" s="5">
        <v>9.98</v>
      </c>
      <c r="Y82" s="5">
        <v>10.36</v>
      </c>
      <c r="Z82" s="25">
        <f t="shared" si="24"/>
        <v>10.450000000000001</v>
      </c>
      <c r="AA82" s="5">
        <v>6.34</v>
      </c>
      <c r="AB82" s="5">
        <v>6.2</v>
      </c>
      <c r="AC82" s="5">
        <v>6.28</v>
      </c>
      <c r="AD82" s="25">
        <f t="shared" si="25"/>
        <v>6.2733333333333334</v>
      </c>
      <c r="AE82" s="24">
        <f t="shared" si="26"/>
        <v>37.717239971737428</v>
      </c>
      <c r="AF82" s="26">
        <f t="shared" si="27"/>
        <v>36.311389266064921</v>
      </c>
      <c r="AG82" s="26">
        <f t="shared" si="28"/>
        <v>38.513674476645221</v>
      </c>
      <c r="AH82" s="26">
        <f t="shared" si="29"/>
        <v>20.025279777078612</v>
      </c>
      <c r="AI82" s="26">
        <f t="shared" si="30"/>
        <v>17.359382887493872</v>
      </c>
      <c r="AJ82" s="26">
        <f t="shared" si="31"/>
        <v>18.256330627865182</v>
      </c>
      <c r="AK82" s="26">
        <f t="shared" si="32"/>
        <v>22.490331253445973</v>
      </c>
      <c r="AL82" s="26">
        <f t="shared" si="33"/>
        <v>20.64572007752065</v>
      </c>
      <c r="AM82" s="26">
        <f t="shared" si="34"/>
        <v>21.336866499480109</v>
      </c>
      <c r="AN82" s="26">
        <f t="shared" si="35"/>
        <v>37.514101238149188</v>
      </c>
      <c r="AO82" s="26">
        <f t="shared" si="36"/>
        <v>18.546997764145889</v>
      </c>
      <c r="AP82" s="26">
        <f t="shared" si="37"/>
        <v>21.490972610148912</v>
      </c>
      <c r="AQ82" s="26">
        <f t="shared" si="38"/>
        <v>42.703653488149008</v>
      </c>
      <c r="AR82" s="26">
        <f t="shared" si="39"/>
        <v>40.24754855474194</v>
      </c>
      <c r="AS82" s="26">
        <f t="shared" si="40"/>
        <v>42.621552408223259</v>
      </c>
      <c r="AT82" s="26">
        <f t="shared" si="41"/>
        <v>41.857584817038067</v>
      </c>
      <c r="AU82" s="26">
        <f t="shared" si="42"/>
        <v>27.965251110972538</v>
      </c>
      <c r="AV82" s="26">
        <f t="shared" ref="AV82" si="46">DEGREES(ATAN(AI82/AF82))</f>
        <v>25.551060446362797</v>
      </c>
      <c r="AW82" s="26">
        <f t="shared" ref="AW82" si="47">DEGREES(ATAN(AJ82/AG82))</f>
        <v>25.361983003858739</v>
      </c>
      <c r="AX82" s="26">
        <f t="shared" si="45"/>
        <v>26.292764853731359</v>
      </c>
      <c r="AY82" s="7">
        <v>4.1900000000000004</v>
      </c>
      <c r="AZ82" s="5">
        <v>9.8000000000000007</v>
      </c>
      <c r="BA82" s="5">
        <v>3.33</v>
      </c>
      <c r="BB82" s="5"/>
      <c r="BC82" s="5"/>
      <c r="BD82" s="24" t="s">
        <v>19</v>
      </c>
      <c r="BE82" s="5">
        <v>6</v>
      </c>
      <c r="BF82" s="5">
        <v>2</v>
      </c>
      <c r="BG82" s="5">
        <v>2</v>
      </c>
      <c r="BH82" s="2"/>
    </row>
    <row r="83" spans="1:60" ht="13.2" x14ac:dyDescent="0.25">
      <c r="AY83" s="12"/>
    </row>
    <row r="84" spans="1:60" ht="13.2" x14ac:dyDescent="0.25">
      <c r="AY84" s="12"/>
    </row>
    <row r="85" spans="1:60" ht="13.2" x14ac:dyDescent="0.25">
      <c r="AY85" s="12"/>
    </row>
    <row r="86" spans="1:60" ht="13.2" x14ac:dyDescent="0.25">
      <c r="AY86" s="12"/>
    </row>
    <row r="87" spans="1:60" ht="13.2" x14ac:dyDescent="0.25">
      <c r="AY87" s="12"/>
    </row>
    <row r="88" spans="1:60" ht="13.2" x14ac:dyDescent="0.25">
      <c r="AY88" s="12"/>
    </row>
    <row r="89" spans="1:60" ht="13.2" x14ac:dyDescent="0.25">
      <c r="AY89" s="12"/>
    </row>
    <row r="90" spans="1:60" ht="13.2" x14ac:dyDescent="0.25">
      <c r="AY90" s="12"/>
    </row>
    <row r="91" spans="1:60" ht="13.2" x14ac:dyDescent="0.25">
      <c r="AY91" s="12"/>
    </row>
    <row r="92" spans="1:60" ht="13.2" x14ac:dyDescent="0.25">
      <c r="AY92" s="12"/>
    </row>
    <row r="93" spans="1:60" ht="13.2" x14ac:dyDescent="0.25">
      <c r="AY93" s="12"/>
    </row>
    <row r="94" spans="1:60" ht="13.2" x14ac:dyDescent="0.25">
      <c r="AY94" s="12"/>
    </row>
    <row r="95" spans="1:60" ht="13.2" x14ac:dyDescent="0.25">
      <c r="AY95" s="12"/>
    </row>
    <row r="96" spans="1:60" ht="13.2" x14ac:dyDescent="0.25">
      <c r="AY96" s="12"/>
    </row>
    <row r="97" spans="51:51" ht="13.2" x14ac:dyDescent="0.25">
      <c r="AY97" s="12"/>
    </row>
    <row r="98" spans="51:51" ht="13.2" x14ac:dyDescent="0.25">
      <c r="AY98" s="12"/>
    </row>
    <row r="99" spans="51:51" ht="13.2" x14ac:dyDescent="0.25">
      <c r="AY99" s="12"/>
    </row>
    <row r="100" spans="51:51" ht="13.2" x14ac:dyDescent="0.25">
      <c r="AY100" s="12"/>
    </row>
    <row r="101" spans="51:51" ht="13.2" x14ac:dyDescent="0.25">
      <c r="AY101" s="12"/>
    </row>
    <row r="102" spans="51:51" ht="13.2" x14ac:dyDescent="0.25">
      <c r="AY102" s="12"/>
    </row>
    <row r="103" spans="51:51" ht="13.2" x14ac:dyDescent="0.25">
      <c r="AY103" s="12"/>
    </row>
    <row r="104" spans="51:51" ht="13.2" x14ac:dyDescent="0.25">
      <c r="AY104" s="12"/>
    </row>
    <row r="105" spans="51:51" ht="13.2" x14ac:dyDescent="0.25">
      <c r="AY105" s="12"/>
    </row>
    <row r="106" spans="51:51" ht="13.2" x14ac:dyDescent="0.25">
      <c r="AY106" s="12"/>
    </row>
    <row r="107" spans="51:51" ht="13.2" x14ac:dyDescent="0.25">
      <c r="AY107" s="12"/>
    </row>
    <row r="108" spans="51:51" ht="13.2" x14ac:dyDescent="0.25">
      <c r="AY108" s="12"/>
    </row>
    <row r="109" spans="51:51" ht="13.2" x14ac:dyDescent="0.25">
      <c r="AY109" s="12"/>
    </row>
    <row r="110" spans="51:51" ht="13.2" x14ac:dyDescent="0.25">
      <c r="AY110" s="12"/>
    </row>
    <row r="111" spans="51:51" ht="13.2" x14ac:dyDescent="0.25">
      <c r="AY111" s="12"/>
    </row>
    <row r="112" spans="51:51" ht="13.2" x14ac:dyDescent="0.25">
      <c r="AY112" s="12"/>
    </row>
    <row r="113" spans="51:51" ht="13.2" x14ac:dyDescent="0.25">
      <c r="AY113" s="12"/>
    </row>
    <row r="114" spans="51:51" ht="13.2" x14ac:dyDescent="0.25">
      <c r="AY114" s="12"/>
    </row>
    <row r="115" spans="51:51" ht="13.2" x14ac:dyDescent="0.25">
      <c r="AY115" s="12"/>
    </row>
    <row r="116" spans="51:51" ht="13.2" x14ac:dyDescent="0.25">
      <c r="AY116" s="12"/>
    </row>
    <row r="117" spans="51:51" ht="13.2" x14ac:dyDescent="0.25">
      <c r="AY117" s="12"/>
    </row>
    <row r="118" spans="51:51" ht="13.2" x14ac:dyDescent="0.25">
      <c r="AY118" s="12"/>
    </row>
    <row r="119" spans="51:51" ht="13.2" x14ac:dyDescent="0.25">
      <c r="AY119" s="12"/>
    </row>
    <row r="120" spans="51:51" ht="13.2" x14ac:dyDescent="0.25">
      <c r="AY120" s="12"/>
    </row>
    <row r="121" spans="51:51" ht="13.2" x14ac:dyDescent="0.25">
      <c r="AY121" s="12"/>
    </row>
    <row r="122" spans="51:51" ht="13.2" x14ac:dyDescent="0.25">
      <c r="AY122" s="12"/>
    </row>
    <row r="123" spans="51:51" ht="13.2" x14ac:dyDescent="0.25">
      <c r="AY123" s="12"/>
    </row>
    <row r="124" spans="51:51" ht="13.2" x14ac:dyDescent="0.25">
      <c r="AY124" s="12"/>
    </row>
    <row r="125" spans="51:51" ht="13.2" x14ac:dyDescent="0.25">
      <c r="AY125" s="12"/>
    </row>
    <row r="126" spans="51:51" ht="13.2" x14ac:dyDescent="0.25">
      <c r="AY126" s="12"/>
    </row>
    <row r="127" spans="51:51" ht="13.2" x14ac:dyDescent="0.25">
      <c r="AY127" s="12"/>
    </row>
    <row r="128" spans="51:51" ht="13.2" x14ac:dyDescent="0.25">
      <c r="AY128" s="12"/>
    </row>
    <row r="129" spans="51:51" ht="13.2" x14ac:dyDescent="0.25">
      <c r="AY129" s="12"/>
    </row>
    <row r="130" spans="51:51" ht="13.2" x14ac:dyDescent="0.25">
      <c r="AY130" s="12"/>
    </row>
    <row r="131" spans="51:51" ht="13.2" x14ac:dyDescent="0.25">
      <c r="AY131" s="12"/>
    </row>
    <row r="132" spans="51:51" ht="13.2" x14ac:dyDescent="0.25">
      <c r="AY132" s="12"/>
    </row>
    <row r="133" spans="51:51" ht="13.2" x14ac:dyDescent="0.25">
      <c r="AY133" s="12"/>
    </row>
    <row r="134" spans="51:51" ht="13.2" x14ac:dyDescent="0.25">
      <c r="AY134" s="12"/>
    </row>
    <row r="135" spans="51:51" ht="13.2" x14ac:dyDescent="0.25">
      <c r="AY135" s="12"/>
    </row>
    <row r="136" spans="51:51" ht="13.2" x14ac:dyDescent="0.25">
      <c r="AY136" s="12"/>
    </row>
    <row r="137" spans="51:51" ht="13.2" x14ac:dyDescent="0.25">
      <c r="AY137" s="12"/>
    </row>
    <row r="138" spans="51:51" ht="13.2" x14ac:dyDescent="0.25">
      <c r="AY138" s="12"/>
    </row>
    <row r="139" spans="51:51" ht="13.2" x14ac:dyDescent="0.25">
      <c r="AY139" s="12"/>
    </row>
    <row r="140" spans="51:51" ht="13.2" x14ac:dyDescent="0.25">
      <c r="AY140" s="12"/>
    </row>
    <row r="141" spans="51:51" ht="13.2" x14ac:dyDescent="0.25">
      <c r="AY141" s="12"/>
    </row>
    <row r="142" spans="51:51" ht="13.2" x14ac:dyDescent="0.25">
      <c r="AY142" s="12"/>
    </row>
    <row r="143" spans="51:51" ht="13.2" x14ac:dyDescent="0.25">
      <c r="AY143" s="12"/>
    </row>
    <row r="144" spans="51:51" ht="13.2" x14ac:dyDescent="0.25">
      <c r="AY144" s="12"/>
    </row>
    <row r="145" spans="51:51" ht="13.2" x14ac:dyDescent="0.25">
      <c r="AY145" s="12"/>
    </row>
    <row r="146" spans="51:51" ht="13.2" x14ac:dyDescent="0.25">
      <c r="AY146" s="12"/>
    </row>
    <row r="147" spans="51:51" ht="13.2" x14ac:dyDescent="0.25">
      <c r="AY147" s="12"/>
    </row>
    <row r="148" spans="51:51" ht="13.2" x14ac:dyDescent="0.25">
      <c r="AY148" s="12"/>
    </row>
    <row r="149" spans="51:51" ht="13.2" x14ac:dyDescent="0.25">
      <c r="AY149" s="12"/>
    </row>
    <row r="150" spans="51:51" ht="13.2" x14ac:dyDescent="0.25">
      <c r="AY150" s="12"/>
    </row>
    <row r="151" spans="51:51" ht="13.2" x14ac:dyDescent="0.25">
      <c r="AY151" s="12"/>
    </row>
    <row r="152" spans="51:51" ht="13.2" x14ac:dyDescent="0.25">
      <c r="AY152" s="12"/>
    </row>
    <row r="153" spans="51:51" ht="13.2" x14ac:dyDescent="0.25">
      <c r="AY153" s="12"/>
    </row>
    <row r="154" spans="51:51" ht="13.2" x14ac:dyDescent="0.25">
      <c r="AY154" s="12"/>
    </row>
    <row r="155" spans="51:51" ht="13.2" x14ac:dyDescent="0.25">
      <c r="AY155" s="12"/>
    </row>
    <row r="156" spans="51:51" ht="13.2" x14ac:dyDescent="0.25">
      <c r="AY156" s="12"/>
    </row>
    <row r="157" spans="51:51" ht="13.2" x14ac:dyDescent="0.25">
      <c r="AY157" s="12"/>
    </row>
    <row r="158" spans="51:51" ht="13.2" x14ac:dyDescent="0.25">
      <c r="AY158" s="12"/>
    </row>
    <row r="159" spans="51:51" ht="13.2" x14ac:dyDescent="0.25">
      <c r="AY159" s="12"/>
    </row>
    <row r="160" spans="51:51" ht="13.2" x14ac:dyDescent="0.25">
      <c r="AY160" s="12"/>
    </row>
    <row r="161" spans="51:51" ht="13.2" x14ac:dyDescent="0.25">
      <c r="AY161" s="12"/>
    </row>
    <row r="162" spans="51:51" ht="13.2" x14ac:dyDescent="0.25">
      <c r="AY162" s="12"/>
    </row>
    <row r="163" spans="51:51" ht="13.2" x14ac:dyDescent="0.25">
      <c r="AY163" s="12"/>
    </row>
    <row r="164" spans="51:51" ht="13.2" x14ac:dyDescent="0.25">
      <c r="AY164" s="12"/>
    </row>
    <row r="165" spans="51:51" ht="13.2" x14ac:dyDescent="0.25">
      <c r="AY165" s="12"/>
    </row>
    <row r="166" spans="51:51" ht="13.2" x14ac:dyDescent="0.25">
      <c r="AY166" s="12"/>
    </row>
    <row r="167" spans="51:51" ht="13.2" x14ac:dyDescent="0.25">
      <c r="AY167" s="12"/>
    </row>
    <row r="168" spans="51:51" ht="13.2" x14ac:dyDescent="0.25">
      <c r="AY168" s="12"/>
    </row>
    <row r="169" spans="51:51" ht="13.2" x14ac:dyDescent="0.25">
      <c r="AY169" s="12"/>
    </row>
    <row r="170" spans="51:51" ht="13.2" x14ac:dyDescent="0.25">
      <c r="AY170" s="12"/>
    </row>
    <row r="171" spans="51:51" ht="13.2" x14ac:dyDescent="0.25">
      <c r="AY171" s="12"/>
    </row>
    <row r="172" spans="51:51" ht="13.2" x14ac:dyDescent="0.25">
      <c r="AY172" s="12"/>
    </row>
    <row r="173" spans="51:51" ht="13.2" x14ac:dyDescent="0.25">
      <c r="AY173" s="12"/>
    </row>
    <row r="174" spans="51:51" ht="13.2" x14ac:dyDescent="0.25">
      <c r="AY174" s="12"/>
    </row>
    <row r="175" spans="51:51" ht="13.2" x14ac:dyDescent="0.25">
      <c r="AY175" s="12"/>
    </row>
    <row r="176" spans="51:51" ht="13.2" x14ac:dyDescent="0.25">
      <c r="AY176" s="12"/>
    </row>
    <row r="177" spans="51:51" ht="13.2" x14ac:dyDescent="0.25">
      <c r="AY177" s="12"/>
    </row>
    <row r="178" spans="51:51" ht="13.2" x14ac:dyDescent="0.25">
      <c r="AY178" s="12"/>
    </row>
    <row r="179" spans="51:51" ht="13.2" x14ac:dyDescent="0.25">
      <c r="AY179" s="12"/>
    </row>
    <row r="180" spans="51:51" ht="13.2" x14ac:dyDescent="0.25">
      <c r="AY180" s="12"/>
    </row>
    <row r="181" spans="51:51" ht="13.2" x14ac:dyDescent="0.25">
      <c r="AY181" s="12"/>
    </row>
    <row r="182" spans="51:51" ht="13.2" x14ac:dyDescent="0.25">
      <c r="AY182" s="12"/>
    </row>
    <row r="183" spans="51:51" ht="13.2" x14ac:dyDescent="0.25">
      <c r="AY183" s="12"/>
    </row>
    <row r="184" spans="51:51" ht="13.2" x14ac:dyDescent="0.25">
      <c r="AY184" s="12"/>
    </row>
    <row r="185" spans="51:51" ht="13.2" x14ac:dyDescent="0.25">
      <c r="AY185" s="12"/>
    </row>
    <row r="186" spans="51:51" ht="13.2" x14ac:dyDescent="0.25">
      <c r="AY186" s="12"/>
    </row>
    <row r="187" spans="51:51" ht="13.2" x14ac:dyDescent="0.25">
      <c r="AY187" s="12"/>
    </row>
    <row r="188" spans="51:51" ht="13.2" x14ac:dyDescent="0.25">
      <c r="AY188" s="12"/>
    </row>
    <row r="189" spans="51:51" ht="13.2" x14ac:dyDescent="0.25">
      <c r="AY189" s="12"/>
    </row>
    <row r="190" spans="51:51" ht="13.2" x14ac:dyDescent="0.25">
      <c r="AY190" s="12"/>
    </row>
    <row r="191" spans="51:51" ht="13.2" x14ac:dyDescent="0.25">
      <c r="AY191" s="12"/>
    </row>
    <row r="192" spans="51:51" ht="13.2" x14ac:dyDescent="0.25">
      <c r="AY192" s="12"/>
    </row>
    <row r="193" spans="51:51" ht="13.2" x14ac:dyDescent="0.25">
      <c r="AY193" s="12"/>
    </row>
    <row r="194" spans="51:51" ht="13.2" x14ac:dyDescent="0.25">
      <c r="AY194" s="12"/>
    </row>
    <row r="195" spans="51:51" ht="13.2" x14ac:dyDescent="0.25">
      <c r="AY195" s="12"/>
    </row>
    <row r="196" spans="51:51" ht="13.2" x14ac:dyDescent="0.25">
      <c r="AY196" s="12"/>
    </row>
    <row r="197" spans="51:51" ht="13.2" x14ac:dyDescent="0.25">
      <c r="AY197" s="12"/>
    </row>
    <row r="198" spans="51:51" ht="13.2" x14ac:dyDescent="0.25">
      <c r="AY198" s="12"/>
    </row>
    <row r="199" spans="51:51" ht="13.2" x14ac:dyDescent="0.25">
      <c r="AY199" s="12"/>
    </row>
    <row r="200" spans="51:51" ht="13.2" x14ac:dyDescent="0.25">
      <c r="AY200" s="12"/>
    </row>
    <row r="201" spans="51:51" ht="13.2" x14ac:dyDescent="0.25">
      <c r="AY201" s="12"/>
    </row>
    <row r="202" spans="51:51" ht="13.2" x14ac:dyDescent="0.25">
      <c r="AY202" s="12"/>
    </row>
    <row r="203" spans="51:51" ht="13.2" x14ac:dyDescent="0.25">
      <c r="AY203" s="12"/>
    </row>
    <row r="204" spans="51:51" ht="13.2" x14ac:dyDescent="0.25">
      <c r="AY204" s="12"/>
    </row>
    <row r="205" spans="51:51" ht="13.2" x14ac:dyDescent="0.25">
      <c r="AY205" s="12"/>
    </row>
    <row r="206" spans="51:51" ht="13.2" x14ac:dyDescent="0.25">
      <c r="AY206" s="12"/>
    </row>
    <row r="207" spans="51:51" ht="13.2" x14ac:dyDescent="0.25">
      <c r="AY207" s="12"/>
    </row>
    <row r="208" spans="51:51" ht="13.2" x14ac:dyDescent="0.25">
      <c r="AY208" s="12"/>
    </row>
    <row r="209" spans="51:51" ht="13.2" x14ac:dyDescent="0.25">
      <c r="AY209" s="12"/>
    </row>
    <row r="210" spans="51:51" ht="13.2" x14ac:dyDescent="0.25">
      <c r="AY210" s="12"/>
    </row>
    <row r="211" spans="51:51" ht="13.2" x14ac:dyDescent="0.25">
      <c r="AY211" s="12"/>
    </row>
    <row r="212" spans="51:51" ht="13.2" x14ac:dyDescent="0.25">
      <c r="AY212" s="12"/>
    </row>
    <row r="213" spans="51:51" ht="13.2" x14ac:dyDescent="0.25">
      <c r="AY213" s="12"/>
    </row>
    <row r="214" spans="51:51" ht="13.2" x14ac:dyDescent="0.25">
      <c r="AY214" s="12"/>
    </row>
    <row r="215" spans="51:51" ht="13.2" x14ac:dyDescent="0.25">
      <c r="AY215" s="12"/>
    </row>
    <row r="216" spans="51:51" ht="13.2" x14ac:dyDescent="0.25">
      <c r="AY216" s="12"/>
    </row>
    <row r="217" spans="51:51" ht="13.2" x14ac:dyDescent="0.25">
      <c r="AY217" s="12"/>
    </row>
    <row r="218" spans="51:51" ht="13.2" x14ac:dyDescent="0.25">
      <c r="AY218" s="12"/>
    </row>
    <row r="219" spans="51:51" ht="13.2" x14ac:dyDescent="0.25">
      <c r="AY219" s="12"/>
    </row>
    <row r="220" spans="51:51" ht="13.2" x14ac:dyDescent="0.25">
      <c r="AY220" s="12"/>
    </row>
    <row r="221" spans="51:51" ht="13.2" x14ac:dyDescent="0.25">
      <c r="AY221" s="12"/>
    </row>
    <row r="222" spans="51:51" ht="13.2" x14ac:dyDescent="0.25">
      <c r="AY222" s="12"/>
    </row>
    <row r="223" spans="51:51" ht="13.2" x14ac:dyDescent="0.25">
      <c r="AY223" s="12"/>
    </row>
    <row r="224" spans="51:51" ht="13.2" x14ac:dyDescent="0.25">
      <c r="AY224" s="12"/>
    </row>
    <row r="225" spans="51:51" ht="13.2" x14ac:dyDescent="0.25">
      <c r="AY225" s="12"/>
    </row>
    <row r="226" spans="51:51" ht="13.2" x14ac:dyDescent="0.25">
      <c r="AY226" s="12"/>
    </row>
    <row r="227" spans="51:51" ht="13.2" x14ac:dyDescent="0.25">
      <c r="AY227" s="12"/>
    </row>
    <row r="228" spans="51:51" ht="13.2" x14ac:dyDescent="0.25">
      <c r="AY228" s="12"/>
    </row>
    <row r="229" spans="51:51" ht="13.2" x14ac:dyDescent="0.25">
      <c r="AY229" s="12"/>
    </row>
    <row r="230" spans="51:51" ht="13.2" x14ac:dyDescent="0.25">
      <c r="AY230" s="12"/>
    </row>
    <row r="231" spans="51:51" ht="13.2" x14ac:dyDescent="0.25">
      <c r="AY231" s="12"/>
    </row>
    <row r="232" spans="51:51" ht="13.2" x14ac:dyDescent="0.25">
      <c r="AY232" s="12"/>
    </row>
    <row r="233" spans="51:51" ht="13.2" x14ac:dyDescent="0.25">
      <c r="AY233" s="12"/>
    </row>
    <row r="234" spans="51:51" ht="13.2" x14ac:dyDescent="0.25">
      <c r="AY234" s="12"/>
    </row>
    <row r="235" spans="51:51" ht="13.2" x14ac:dyDescent="0.25">
      <c r="AY235" s="12"/>
    </row>
    <row r="236" spans="51:51" ht="13.2" x14ac:dyDescent="0.25">
      <c r="AY236" s="12"/>
    </row>
    <row r="237" spans="51:51" ht="13.2" x14ac:dyDescent="0.25">
      <c r="AY237" s="12"/>
    </row>
    <row r="238" spans="51:51" ht="13.2" x14ac:dyDescent="0.25">
      <c r="AY238" s="12"/>
    </row>
    <row r="239" spans="51:51" ht="13.2" x14ac:dyDescent="0.25">
      <c r="AY239" s="12"/>
    </row>
    <row r="240" spans="51:51" ht="13.2" x14ac:dyDescent="0.25">
      <c r="AY240" s="12"/>
    </row>
    <row r="241" spans="51:51" ht="13.2" x14ac:dyDescent="0.25">
      <c r="AY241" s="12"/>
    </row>
    <row r="242" spans="51:51" ht="13.2" x14ac:dyDescent="0.25">
      <c r="AY242" s="12"/>
    </row>
    <row r="243" spans="51:51" ht="13.2" x14ac:dyDescent="0.25">
      <c r="AY243" s="12"/>
    </row>
    <row r="244" spans="51:51" ht="13.2" x14ac:dyDescent="0.25">
      <c r="AY244" s="12"/>
    </row>
    <row r="245" spans="51:51" ht="13.2" x14ac:dyDescent="0.25">
      <c r="AY245" s="12"/>
    </row>
    <row r="246" spans="51:51" ht="13.2" x14ac:dyDescent="0.25">
      <c r="AY246" s="12"/>
    </row>
    <row r="247" spans="51:51" ht="13.2" x14ac:dyDescent="0.25">
      <c r="AY247" s="12"/>
    </row>
    <row r="248" spans="51:51" ht="13.2" x14ac:dyDescent="0.25">
      <c r="AY248" s="12"/>
    </row>
    <row r="249" spans="51:51" ht="13.2" x14ac:dyDescent="0.25">
      <c r="AY249" s="12"/>
    </row>
    <row r="250" spans="51:51" ht="13.2" x14ac:dyDescent="0.25">
      <c r="AY250" s="12"/>
    </row>
    <row r="251" spans="51:51" ht="13.2" x14ac:dyDescent="0.25">
      <c r="AY251" s="12"/>
    </row>
    <row r="252" spans="51:51" ht="13.2" x14ac:dyDescent="0.25">
      <c r="AY252" s="12"/>
    </row>
    <row r="253" spans="51:51" ht="13.2" x14ac:dyDescent="0.25">
      <c r="AY253" s="12"/>
    </row>
    <row r="254" spans="51:51" ht="13.2" x14ac:dyDescent="0.25">
      <c r="AY254" s="12"/>
    </row>
    <row r="255" spans="51:51" ht="13.2" x14ac:dyDescent="0.25">
      <c r="AY255" s="12"/>
    </row>
    <row r="256" spans="51:51" ht="13.2" x14ac:dyDescent="0.25">
      <c r="AY256" s="12"/>
    </row>
    <row r="257" spans="51:51" ht="13.2" x14ac:dyDescent="0.25">
      <c r="AY257" s="12"/>
    </row>
    <row r="258" spans="51:51" ht="13.2" x14ac:dyDescent="0.25">
      <c r="AY258" s="12"/>
    </row>
    <row r="259" spans="51:51" ht="13.2" x14ac:dyDescent="0.25">
      <c r="AY259" s="12"/>
    </row>
    <row r="260" spans="51:51" ht="13.2" x14ac:dyDescent="0.25">
      <c r="AY260" s="12"/>
    </row>
    <row r="261" spans="51:51" ht="13.2" x14ac:dyDescent="0.25">
      <c r="AY261" s="12"/>
    </row>
    <row r="262" spans="51:51" ht="13.2" x14ac:dyDescent="0.25">
      <c r="AY262" s="12"/>
    </row>
    <row r="263" spans="51:51" ht="13.2" x14ac:dyDescent="0.25">
      <c r="AY263" s="12"/>
    </row>
    <row r="264" spans="51:51" ht="13.2" x14ac:dyDescent="0.25">
      <c r="AY264" s="12"/>
    </row>
    <row r="265" spans="51:51" ht="13.2" x14ac:dyDescent="0.25">
      <c r="AY265" s="12"/>
    </row>
    <row r="266" spans="51:51" ht="13.2" x14ac:dyDescent="0.25">
      <c r="AY266" s="12"/>
    </row>
    <row r="267" spans="51:51" ht="13.2" x14ac:dyDescent="0.25">
      <c r="AY267" s="12"/>
    </row>
    <row r="268" spans="51:51" ht="13.2" x14ac:dyDescent="0.25">
      <c r="AY268" s="12"/>
    </row>
    <row r="269" spans="51:51" ht="13.2" x14ac:dyDescent="0.25">
      <c r="AY269" s="12"/>
    </row>
    <row r="270" spans="51:51" ht="13.2" x14ac:dyDescent="0.25">
      <c r="AY270" s="12"/>
    </row>
    <row r="271" spans="51:51" ht="13.2" x14ac:dyDescent="0.25">
      <c r="AY271" s="12"/>
    </row>
    <row r="272" spans="51:51" ht="13.2" x14ac:dyDescent="0.25">
      <c r="AY272" s="12"/>
    </row>
    <row r="273" spans="51:51" ht="13.2" x14ac:dyDescent="0.25">
      <c r="AY273" s="12"/>
    </row>
    <row r="274" spans="51:51" ht="13.2" x14ac:dyDescent="0.25">
      <c r="AY274" s="12"/>
    </row>
    <row r="275" spans="51:51" ht="13.2" x14ac:dyDescent="0.25">
      <c r="AY275" s="12"/>
    </row>
    <row r="276" spans="51:51" ht="13.2" x14ac:dyDescent="0.25">
      <c r="AY276" s="12"/>
    </row>
    <row r="277" spans="51:51" ht="13.2" x14ac:dyDescent="0.25">
      <c r="AY277" s="12"/>
    </row>
    <row r="278" spans="51:51" ht="13.2" x14ac:dyDescent="0.25">
      <c r="AY278" s="12"/>
    </row>
    <row r="279" spans="51:51" ht="13.2" x14ac:dyDescent="0.25">
      <c r="AY279" s="12"/>
    </row>
    <row r="280" spans="51:51" ht="13.2" x14ac:dyDescent="0.25">
      <c r="AY280" s="12"/>
    </row>
    <row r="281" spans="51:51" ht="13.2" x14ac:dyDescent="0.25">
      <c r="AY281" s="12"/>
    </row>
    <row r="282" spans="51:51" ht="13.2" x14ac:dyDescent="0.25">
      <c r="AY282" s="12"/>
    </row>
    <row r="283" spans="51:51" ht="13.2" x14ac:dyDescent="0.25">
      <c r="AY283" s="12"/>
    </row>
    <row r="284" spans="51:51" ht="13.2" x14ac:dyDescent="0.25">
      <c r="AY284" s="12"/>
    </row>
    <row r="285" spans="51:51" ht="13.2" x14ac:dyDescent="0.25">
      <c r="AY285" s="12"/>
    </row>
    <row r="286" spans="51:51" ht="13.2" x14ac:dyDescent="0.25">
      <c r="AY286" s="12"/>
    </row>
    <row r="287" spans="51:51" ht="13.2" x14ac:dyDescent="0.25">
      <c r="AY287" s="12"/>
    </row>
    <row r="288" spans="51:51" ht="13.2" x14ac:dyDescent="0.25">
      <c r="AY288" s="12"/>
    </row>
    <row r="289" spans="51:51" ht="13.2" x14ac:dyDescent="0.25">
      <c r="AY289" s="12"/>
    </row>
    <row r="290" spans="51:51" ht="13.2" x14ac:dyDescent="0.25">
      <c r="AY290" s="12"/>
    </row>
    <row r="291" spans="51:51" ht="13.2" x14ac:dyDescent="0.25">
      <c r="AY291" s="12"/>
    </row>
    <row r="292" spans="51:51" ht="13.2" x14ac:dyDescent="0.25">
      <c r="AY292" s="12"/>
    </row>
    <row r="293" spans="51:51" ht="13.2" x14ac:dyDescent="0.25">
      <c r="AY293" s="12"/>
    </row>
    <row r="294" spans="51:51" ht="13.2" x14ac:dyDescent="0.25">
      <c r="AY294" s="12"/>
    </row>
    <row r="295" spans="51:51" ht="13.2" x14ac:dyDescent="0.25">
      <c r="AY295" s="12"/>
    </row>
    <row r="296" spans="51:51" ht="13.2" x14ac:dyDescent="0.25">
      <c r="AY296" s="12"/>
    </row>
    <row r="297" spans="51:51" ht="13.2" x14ac:dyDescent="0.25">
      <c r="AY297" s="12"/>
    </row>
    <row r="298" spans="51:51" ht="13.2" x14ac:dyDescent="0.25">
      <c r="AY298" s="12"/>
    </row>
    <row r="299" spans="51:51" ht="13.2" x14ac:dyDescent="0.25">
      <c r="AY299" s="12"/>
    </row>
    <row r="300" spans="51:51" ht="13.2" x14ac:dyDescent="0.25">
      <c r="AY300" s="12"/>
    </row>
    <row r="301" spans="51:51" ht="13.2" x14ac:dyDescent="0.25">
      <c r="AY301" s="12"/>
    </row>
    <row r="302" spans="51:51" ht="13.2" x14ac:dyDescent="0.25">
      <c r="AY302" s="12"/>
    </row>
    <row r="303" spans="51:51" ht="13.2" x14ac:dyDescent="0.25">
      <c r="AY303" s="12"/>
    </row>
    <row r="304" spans="51:51" ht="13.2" x14ac:dyDescent="0.25">
      <c r="AY304" s="12"/>
    </row>
    <row r="305" spans="51:51" ht="13.2" x14ac:dyDescent="0.25">
      <c r="AY305" s="12"/>
    </row>
    <row r="306" spans="51:51" ht="13.2" x14ac:dyDescent="0.25">
      <c r="AY306" s="12"/>
    </row>
    <row r="307" spans="51:51" ht="13.2" x14ac:dyDescent="0.25">
      <c r="AY307" s="12"/>
    </row>
    <row r="308" spans="51:51" ht="13.2" x14ac:dyDescent="0.25">
      <c r="AY308" s="12"/>
    </row>
    <row r="309" spans="51:51" ht="13.2" x14ac:dyDescent="0.25">
      <c r="AY309" s="12"/>
    </row>
    <row r="310" spans="51:51" ht="13.2" x14ac:dyDescent="0.25">
      <c r="AY310" s="12"/>
    </row>
    <row r="311" spans="51:51" ht="13.2" x14ac:dyDescent="0.25">
      <c r="AY311" s="12"/>
    </row>
    <row r="312" spans="51:51" ht="13.2" x14ac:dyDescent="0.25">
      <c r="AY312" s="12"/>
    </row>
    <row r="313" spans="51:51" ht="13.2" x14ac:dyDescent="0.25">
      <c r="AY313" s="12"/>
    </row>
    <row r="314" spans="51:51" ht="13.2" x14ac:dyDescent="0.25">
      <c r="AY314" s="12"/>
    </row>
    <row r="315" spans="51:51" ht="13.2" x14ac:dyDescent="0.25">
      <c r="AY315" s="12"/>
    </row>
    <row r="316" spans="51:51" ht="13.2" x14ac:dyDescent="0.25">
      <c r="AY316" s="12"/>
    </row>
    <row r="317" spans="51:51" ht="13.2" x14ac:dyDescent="0.25">
      <c r="AY317" s="12"/>
    </row>
    <row r="318" spans="51:51" ht="13.2" x14ac:dyDescent="0.25">
      <c r="AY318" s="12"/>
    </row>
    <row r="319" spans="51:51" ht="13.2" x14ac:dyDescent="0.25">
      <c r="AY319" s="12"/>
    </row>
    <row r="320" spans="51:51" ht="13.2" x14ac:dyDescent="0.25">
      <c r="AY320" s="12"/>
    </row>
    <row r="321" spans="51:51" ht="13.2" x14ac:dyDescent="0.25">
      <c r="AY321" s="12"/>
    </row>
    <row r="322" spans="51:51" ht="13.2" x14ac:dyDescent="0.25">
      <c r="AY322" s="12"/>
    </row>
    <row r="323" spans="51:51" ht="13.2" x14ac:dyDescent="0.25">
      <c r="AY323" s="12"/>
    </row>
    <row r="324" spans="51:51" ht="13.2" x14ac:dyDescent="0.25">
      <c r="AY324" s="12"/>
    </row>
    <row r="325" spans="51:51" ht="13.2" x14ac:dyDescent="0.25">
      <c r="AY325" s="12"/>
    </row>
    <row r="326" spans="51:51" ht="13.2" x14ac:dyDescent="0.25">
      <c r="AY326" s="12"/>
    </row>
    <row r="327" spans="51:51" ht="13.2" x14ac:dyDescent="0.25">
      <c r="AY327" s="12"/>
    </row>
    <row r="328" spans="51:51" ht="13.2" x14ac:dyDescent="0.25">
      <c r="AY328" s="12"/>
    </row>
    <row r="329" spans="51:51" ht="13.2" x14ac:dyDescent="0.25">
      <c r="AY329" s="12"/>
    </row>
    <row r="330" spans="51:51" ht="13.2" x14ac:dyDescent="0.25">
      <c r="AY330" s="12"/>
    </row>
    <row r="331" spans="51:51" ht="13.2" x14ac:dyDescent="0.25">
      <c r="AY331" s="12"/>
    </row>
    <row r="332" spans="51:51" ht="13.2" x14ac:dyDescent="0.25">
      <c r="AY332" s="12"/>
    </row>
    <row r="333" spans="51:51" ht="13.2" x14ac:dyDescent="0.25">
      <c r="AY333" s="12"/>
    </row>
    <row r="334" spans="51:51" ht="13.2" x14ac:dyDescent="0.25">
      <c r="AY334" s="12"/>
    </row>
    <row r="335" spans="51:51" ht="13.2" x14ac:dyDescent="0.25">
      <c r="AY335" s="12"/>
    </row>
    <row r="336" spans="51:51" ht="13.2" x14ac:dyDescent="0.25">
      <c r="AY336" s="12"/>
    </row>
    <row r="337" spans="51:51" ht="13.2" x14ac:dyDescent="0.25">
      <c r="AY337" s="12"/>
    </row>
    <row r="338" spans="51:51" ht="13.2" x14ac:dyDescent="0.25">
      <c r="AY338" s="12"/>
    </row>
    <row r="339" spans="51:51" ht="13.2" x14ac:dyDescent="0.25">
      <c r="AY339" s="12"/>
    </row>
    <row r="340" spans="51:51" ht="13.2" x14ac:dyDescent="0.25">
      <c r="AY340" s="12"/>
    </row>
    <row r="341" spans="51:51" ht="13.2" x14ac:dyDescent="0.25">
      <c r="AY341" s="12"/>
    </row>
    <row r="342" spans="51:51" ht="13.2" x14ac:dyDescent="0.25">
      <c r="AY342" s="12"/>
    </row>
    <row r="343" spans="51:51" ht="13.2" x14ac:dyDescent="0.25">
      <c r="AY343" s="12"/>
    </row>
    <row r="344" spans="51:51" ht="13.2" x14ac:dyDescent="0.25">
      <c r="AY344" s="12"/>
    </row>
    <row r="345" spans="51:51" ht="13.2" x14ac:dyDescent="0.25">
      <c r="AY345" s="12"/>
    </row>
    <row r="346" spans="51:51" ht="13.2" x14ac:dyDescent="0.25">
      <c r="AY346" s="12"/>
    </row>
    <row r="347" spans="51:51" ht="13.2" x14ac:dyDescent="0.25">
      <c r="AY347" s="12"/>
    </row>
    <row r="348" spans="51:51" ht="13.2" x14ac:dyDescent="0.25">
      <c r="AY348" s="12"/>
    </row>
    <row r="349" spans="51:51" ht="13.2" x14ac:dyDescent="0.25">
      <c r="AY349" s="12"/>
    </row>
    <row r="350" spans="51:51" ht="13.2" x14ac:dyDescent="0.25">
      <c r="AY350" s="12"/>
    </row>
    <row r="351" spans="51:51" ht="13.2" x14ac:dyDescent="0.25">
      <c r="AY351" s="12"/>
    </row>
    <row r="352" spans="51:51" ht="13.2" x14ac:dyDescent="0.25">
      <c r="AY352" s="12"/>
    </row>
    <row r="353" spans="51:51" ht="13.2" x14ac:dyDescent="0.25">
      <c r="AY353" s="12"/>
    </row>
    <row r="354" spans="51:51" ht="13.2" x14ac:dyDescent="0.25">
      <c r="AY354" s="12"/>
    </row>
    <row r="355" spans="51:51" ht="13.2" x14ac:dyDescent="0.25">
      <c r="AY355" s="12"/>
    </row>
    <row r="356" spans="51:51" ht="13.2" x14ac:dyDescent="0.25">
      <c r="AY356" s="12"/>
    </row>
    <row r="357" spans="51:51" ht="13.2" x14ac:dyDescent="0.25">
      <c r="AY357" s="12"/>
    </row>
    <row r="358" spans="51:51" ht="13.2" x14ac:dyDescent="0.25">
      <c r="AY358" s="12"/>
    </row>
    <row r="359" spans="51:51" ht="13.2" x14ac:dyDescent="0.25">
      <c r="AY359" s="12"/>
    </row>
    <row r="360" spans="51:51" ht="13.2" x14ac:dyDescent="0.25">
      <c r="AY360" s="12"/>
    </row>
    <row r="361" spans="51:51" ht="13.2" x14ac:dyDescent="0.25">
      <c r="AY361" s="12"/>
    </row>
    <row r="362" spans="51:51" ht="13.2" x14ac:dyDescent="0.25">
      <c r="AY362" s="12"/>
    </row>
    <row r="363" spans="51:51" ht="13.2" x14ac:dyDescent="0.25">
      <c r="AY363" s="12"/>
    </row>
    <row r="364" spans="51:51" ht="13.2" x14ac:dyDescent="0.25">
      <c r="AY364" s="12"/>
    </row>
    <row r="365" spans="51:51" ht="13.2" x14ac:dyDescent="0.25">
      <c r="AY365" s="12"/>
    </row>
    <row r="366" spans="51:51" ht="13.2" x14ac:dyDescent="0.25">
      <c r="AY366" s="12"/>
    </row>
    <row r="367" spans="51:51" ht="13.2" x14ac:dyDescent="0.25">
      <c r="AY367" s="12"/>
    </row>
    <row r="368" spans="51:51" ht="13.2" x14ac:dyDescent="0.25">
      <c r="AY368" s="12"/>
    </row>
    <row r="369" spans="51:51" ht="13.2" x14ac:dyDescent="0.25">
      <c r="AY369" s="12"/>
    </row>
    <row r="370" spans="51:51" ht="13.2" x14ac:dyDescent="0.25">
      <c r="AY370" s="12"/>
    </row>
    <row r="371" spans="51:51" ht="13.2" x14ac:dyDescent="0.25">
      <c r="AY371" s="12"/>
    </row>
    <row r="372" spans="51:51" ht="13.2" x14ac:dyDescent="0.25">
      <c r="AY372" s="12"/>
    </row>
    <row r="373" spans="51:51" ht="13.2" x14ac:dyDescent="0.25">
      <c r="AY373" s="12"/>
    </row>
    <row r="374" spans="51:51" ht="13.2" x14ac:dyDescent="0.25">
      <c r="AY374" s="12"/>
    </row>
    <row r="375" spans="51:51" ht="13.2" x14ac:dyDescent="0.25">
      <c r="AY375" s="12"/>
    </row>
    <row r="376" spans="51:51" ht="13.2" x14ac:dyDescent="0.25">
      <c r="AY376" s="12"/>
    </row>
    <row r="377" spans="51:51" ht="13.2" x14ac:dyDescent="0.25">
      <c r="AY377" s="12"/>
    </row>
    <row r="378" spans="51:51" ht="13.2" x14ac:dyDescent="0.25">
      <c r="AY378" s="12"/>
    </row>
    <row r="379" spans="51:51" ht="13.2" x14ac:dyDescent="0.25">
      <c r="AY379" s="12"/>
    </row>
    <row r="380" spans="51:51" ht="13.2" x14ac:dyDescent="0.25">
      <c r="AY380" s="12"/>
    </row>
    <row r="381" spans="51:51" ht="13.2" x14ac:dyDescent="0.25">
      <c r="AY381" s="12"/>
    </row>
    <row r="382" spans="51:51" ht="13.2" x14ac:dyDescent="0.25">
      <c r="AY382" s="12"/>
    </row>
    <row r="383" spans="51:51" ht="13.2" x14ac:dyDescent="0.25">
      <c r="AY383" s="12"/>
    </row>
    <row r="384" spans="51:51" ht="13.2" x14ac:dyDescent="0.25">
      <c r="AY384" s="12"/>
    </row>
    <row r="385" spans="51:51" ht="13.2" x14ac:dyDescent="0.25">
      <c r="AY385" s="12"/>
    </row>
    <row r="386" spans="51:51" ht="13.2" x14ac:dyDescent="0.25">
      <c r="AY386" s="12"/>
    </row>
    <row r="387" spans="51:51" ht="13.2" x14ac:dyDescent="0.25">
      <c r="AY387" s="12"/>
    </row>
    <row r="388" spans="51:51" ht="13.2" x14ac:dyDescent="0.25">
      <c r="AY388" s="12"/>
    </row>
    <row r="389" spans="51:51" ht="13.2" x14ac:dyDescent="0.25">
      <c r="AY389" s="12"/>
    </row>
    <row r="390" spans="51:51" ht="13.2" x14ac:dyDescent="0.25">
      <c r="AY390" s="12"/>
    </row>
    <row r="391" spans="51:51" ht="13.2" x14ac:dyDescent="0.25">
      <c r="AY391" s="12"/>
    </row>
    <row r="392" spans="51:51" ht="13.2" x14ac:dyDescent="0.25">
      <c r="AY392" s="12"/>
    </row>
    <row r="393" spans="51:51" ht="13.2" x14ac:dyDescent="0.25">
      <c r="AY393" s="12"/>
    </row>
    <row r="394" spans="51:51" ht="13.2" x14ac:dyDescent="0.25">
      <c r="AY394" s="12"/>
    </row>
    <row r="395" spans="51:51" ht="13.2" x14ac:dyDescent="0.25">
      <c r="AY395" s="12"/>
    </row>
    <row r="396" spans="51:51" ht="13.2" x14ac:dyDescent="0.25">
      <c r="AY396" s="12"/>
    </row>
    <row r="397" spans="51:51" ht="13.2" x14ac:dyDescent="0.25">
      <c r="AY397" s="12"/>
    </row>
    <row r="398" spans="51:51" ht="13.2" x14ac:dyDescent="0.25">
      <c r="AY398" s="12"/>
    </row>
    <row r="399" spans="51:51" ht="13.2" x14ac:dyDescent="0.25">
      <c r="AY399" s="12"/>
    </row>
    <row r="400" spans="51:51" ht="13.2" x14ac:dyDescent="0.25">
      <c r="AY400" s="12"/>
    </row>
    <row r="401" spans="51:51" ht="13.2" x14ac:dyDescent="0.25">
      <c r="AY401" s="12"/>
    </row>
    <row r="402" spans="51:51" ht="13.2" x14ac:dyDescent="0.25">
      <c r="AY402" s="12"/>
    </row>
    <row r="403" spans="51:51" ht="13.2" x14ac:dyDescent="0.25">
      <c r="AY403" s="12"/>
    </row>
    <row r="404" spans="51:51" ht="13.2" x14ac:dyDescent="0.25">
      <c r="AY404" s="12"/>
    </row>
    <row r="405" spans="51:51" ht="13.2" x14ac:dyDescent="0.25">
      <c r="AY405" s="12"/>
    </row>
    <row r="406" spans="51:51" ht="13.2" x14ac:dyDescent="0.25">
      <c r="AY406" s="12"/>
    </row>
    <row r="407" spans="51:51" ht="13.2" x14ac:dyDescent="0.25">
      <c r="AY407" s="12"/>
    </row>
    <row r="408" spans="51:51" ht="13.2" x14ac:dyDescent="0.25">
      <c r="AY408" s="12"/>
    </row>
    <row r="409" spans="51:51" ht="13.2" x14ac:dyDescent="0.25">
      <c r="AY409" s="12"/>
    </row>
    <row r="410" spans="51:51" ht="13.2" x14ac:dyDescent="0.25">
      <c r="AY410" s="12"/>
    </row>
    <row r="411" spans="51:51" ht="13.2" x14ac:dyDescent="0.25">
      <c r="AY411" s="12"/>
    </row>
    <row r="412" spans="51:51" ht="13.2" x14ac:dyDescent="0.25">
      <c r="AY412" s="12"/>
    </row>
    <row r="413" spans="51:51" ht="13.2" x14ac:dyDescent="0.25">
      <c r="AY413" s="12"/>
    </row>
    <row r="414" spans="51:51" ht="13.2" x14ac:dyDescent="0.25">
      <c r="AY414" s="12"/>
    </row>
    <row r="415" spans="51:51" ht="13.2" x14ac:dyDescent="0.25">
      <c r="AY415" s="12"/>
    </row>
    <row r="416" spans="51:51" ht="13.2" x14ac:dyDescent="0.25">
      <c r="AY416" s="12"/>
    </row>
    <row r="417" spans="51:51" ht="13.2" x14ac:dyDescent="0.25">
      <c r="AY417" s="12"/>
    </row>
    <row r="418" spans="51:51" ht="13.2" x14ac:dyDescent="0.25">
      <c r="AY418" s="12"/>
    </row>
    <row r="419" spans="51:51" ht="13.2" x14ac:dyDescent="0.25">
      <c r="AY419" s="12"/>
    </row>
    <row r="420" spans="51:51" ht="13.2" x14ac:dyDescent="0.25">
      <c r="AY420" s="12"/>
    </row>
    <row r="421" spans="51:51" ht="13.2" x14ac:dyDescent="0.25">
      <c r="AY421" s="12"/>
    </row>
    <row r="422" spans="51:51" ht="13.2" x14ac:dyDescent="0.25">
      <c r="AY422" s="12"/>
    </row>
    <row r="423" spans="51:51" ht="13.2" x14ac:dyDescent="0.25">
      <c r="AY423" s="12"/>
    </row>
    <row r="424" spans="51:51" ht="13.2" x14ac:dyDescent="0.25">
      <c r="AY424" s="12"/>
    </row>
    <row r="425" spans="51:51" ht="13.2" x14ac:dyDescent="0.25">
      <c r="AY425" s="12"/>
    </row>
    <row r="426" spans="51:51" ht="13.2" x14ac:dyDescent="0.25">
      <c r="AY426" s="12"/>
    </row>
    <row r="427" spans="51:51" ht="13.2" x14ac:dyDescent="0.25">
      <c r="AY427" s="12"/>
    </row>
    <row r="428" spans="51:51" ht="13.2" x14ac:dyDescent="0.25">
      <c r="AY428" s="12"/>
    </row>
    <row r="429" spans="51:51" ht="13.2" x14ac:dyDescent="0.25">
      <c r="AY429" s="12"/>
    </row>
    <row r="430" spans="51:51" ht="13.2" x14ac:dyDescent="0.25">
      <c r="AY430" s="12"/>
    </row>
    <row r="431" spans="51:51" ht="13.2" x14ac:dyDescent="0.25">
      <c r="AY431" s="12"/>
    </row>
    <row r="432" spans="51:51" ht="13.2" x14ac:dyDescent="0.25">
      <c r="AY432" s="12"/>
    </row>
    <row r="433" spans="51:51" ht="13.2" x14ac:dyDescent="0.25">
      <c r="AY433" s="12"/>
    </row>
    <row r="434" spans="51:51" ht="13.2" x14ac:dyDescent="0.25">
      <c r="AY434" s="12"/>
    </row>
    <row r="435" spans="51:51" ht="13.2" x14ac:dyDescent="0.25">
      <c r="AY435" s="12"/>
    </row>
    <row r="436" spans="51:51" ht="13.2" x14ac:dyDescent="0.25">
      <c r="AY436" s="12"/>
    </row>
    <row r="437" spans="51:51" ht="13.2" x14ac:dyDescent="0.25">
      <c r="AY437" s="12"/>
    </row>
    <row r="438" spans="51:51" ht="13.2" x14ac:dyDescent="0.25">
      <c r="AY438" s="12"/>
    </row>
    <row r="439" spans="51:51" ht="13.2" x14ac:dyDescent="0.25">
      <c r="AY439" s="12"/>
    </row>
    <row r="440" spans="51:51" ht="13.2" x14ac:dyDescent="0.25">
      <c r="AY440" s="12"/>
    </row>
    <row r="441" spans="51:51" ht="13.2" x14ac:dyDescent="0.25">
      <c r="AY441" s="12"/>
    </row>
    <row r="442" spans="51:51" ht="13.2" x14ac:dyDescent="0.25">
      <c r="AY442" s="12"/>
    </row>
    <row r="443" spans="51:51" ht="13.2" x14ac:dyDescent="0.25">
      <c r="AY443" s="12"/>
    </row>
    <row r="444" spans="51:51" ht="13.2" x14ac:dyDescent="0.25">
      <c r="AY444" s="12"/>
    </row>
    <row r="445" spans="51:51" ht="13.2" x14ac:dyDescent="0.25">
      <c r="AY445" s="12"/>
    </row>
    <row r="446" spans="51:51" ht="13.2" x14ac:dyDescent="0.25">
      <c r="AY446" s="12"/>
    </row>
    <row r="447" spans="51:51" ht="13.2" x14ac:dyDescent="0.25">
      <c r="AY447" s="12"/>
    </row>
    <row r="448" spans="51:51" ht="13.2" x14ac:dyDescent="0.25">
      <c r="AY448" s="12"/>
    </row>
    <row r="449" spans="51:51" ht="13.2" x14ac:dyDescent="0.25">
      <c r="AY449" s="12"/>
    </row>
    <row r="450" spans="51:51" ht="13.2" x14ac:dyDescent="0.25">
      <c r="AY450" s="12"/>
    </row>
    <row r="451" spans="51:51" ht="13.2" x14ac:dyDescent="0.25">
      <c r="AY451" s="12"/>
    </row>
    <row r="452" spans="51:51" ht="13.2" x14ac:dyDescent="0.25">
      <c r="AY452" s="12"/>
    </row>
    <row r="453" spans="51:51" ht="13.2" x14ac:dyDescent="0.25">
      <c r="AY453" s="12"/>
    </row>
    <row r="454" spans="51:51" ht="13.2" x14ac:dyDescent="0.25">
      <c r="AY454" s="12"/>
    </row>
    <row r="455" spans="51:51" ht="13.2" x14ac:dyDescent="0.25">
      <c r="AY455" s="12"/>
    </row>
    <row r="456" spans="51:51" ht="13.2" x14ac:dyDescent="0.25">
      <c r="AY456" s="12"/>
    </row>
    <row r="457" spans="51:51" ht="13.2" x14ac:dyDescent="0.25">
      <c r="AY457" s="12"/>
    </row>
    <row r="458" spans="51:51" ht="13.2" x14ac:dyDescent="0.25">
      <c r="AY458" s="12"/>
    </row>
    <row r="459" spans="51:51" ht="13.2" x14ac:dyDescent="0.25">
      <c r="AY459" s="12"/>
    </row>
    <row r="460" spans="51:51" ht="13.2" x14ac:dyDescent="0.25">
      <c r="AY460" s="12"/>
    </row>
    <row r="461" spans="51:51" ht="13.2" x14ac:dyDescent="0.25">
      <c r="AY461" s="12"/>
    </row>
    <row r="462" spans="51:51" ht="13.2" x14ac:dyDescent="0.25">
      <c r="AY462" s="12"/>
    </row>
    <row r="463" spans="51:51" ht="13.2" x14ac:dyDescent="0.25">
      <c r="AY463" s="12"/>
    </row>
    <row r="464" spans="51:51" ht="13.2" x14ac:dyDescent="0.25">
      <c r="AY464" s="12"/>
    </row>
    <row r="465" spans="51:51" ht="13.2" x14ac:dyDescent="0.25">
      <c r="AY465" s="12"/>
    </row>
    <row r="466" spans="51:51" ht="13.2" x14ac:dyDescent="0.25">
      <c r="AY466" s="12"/>
    </row>
    <row r="467" spans="51:51" ht="13.2" x14ac:dyDescent="0.25">
      <c r="AY467" s="12"/>
    </row>
    <row r="468" spans="51:51" ht="13.2" x14ac:dyDescent="0.25">
      <c r="AY468" s="12"/>
    </row>
    <row r="469" spans="51:51" ht="13.2" x14ac:dyDescent="0.25">
      <c r="AY469" s="12"/>
    </row>
    <row r="470" spans="51:51" ht="13.2" x14ac:dyDescent="0.25">
      <c r="AY470" s="12"/>
    </row>
    <row r="471" spans="51:51" ht="13.2" x14ac:dyDescent="0.25">
      <c r="AY471" s="12"/>
    </row>
    <row r="472" spans="51:51" ht="13.2" x14ac:dyDescent="0.25">
      <c r="AY472" s="12"/>
    </row>
    <row r="473" spans="51:51" ht="13.2" x14ac:dyDescent="0.25">
      <c r="AY473" s="12"/>
    </row>
    <row r="474" spans="51:51" ht="13.2" x14ac:dyDescent="0.25">
      <c r="AY474" s="12"/>
    </row>
    <row r="475" spans="51:51" ht="13.2" x14ac:dyDescent="0.25">
      <c r="AY475" s="12"/>
    </row>
    <row r="476" spans="51:51" ht="13.2" x14ac:dyDescent="0.25">
      <c r="AY476" s="12"/>
    </row>
    <row r="477" spans="51:51" ht="13.2" x14ac:dyDescent="0.25">
      <c r="AY477" s="12"/>
    </row>
    <row r="478" spans="51:51" ht="13.2" x14ac:dyDescent="0.25">
      <c r="AY478" s="12"/>
    </row>
    <row r="479" spans="51:51" ht="13.2" x14ac:dyDescent="0.25">
      <c r="AY479" s="12"/>
    </row>
    <row r="480" spans="51:51" ht="13.2" x14ac:dyDescent="0.25">
      <c r="AY480" s="12"/>
    </row>
    <row r="481" spans="51:51" ht="13.2" x14ac:dyDescent="0.25">
      <c r="AY481" s="12"/>
    </row>
    <row r="482" spans="51:51" ht="13.2" x14ac:dyDescent="0.25">
      <c r="AY482" s="12"/>
    </row>
    <row r="483" spans="51:51" ht="13.2" x14ac:dyDescent="0.25">
      <c r="AY483" s="12"/>
    </row>
    <row r="484" spans="51:51" ht="13.2" x14ac:dyDescent="0.25">
      <c r="AY484" s="12"/>
    </row>
    <row r="485" spans="51:51" ht="13.2" x14ac:dyDescent="0.25">
      <c r="AY485" s="12"/>
    </row>
    <row r="486" spans="51:51" ht="13.2" x14ac:dyDescent="0.25">
      <c r="AY486" s="12"/>
    </row>
    <row r="487" spans="51:51" ht="13.2" x14ac:dyDescent="0.25">
      <c r="AY487" s="12"/>
    </row>
    <row r="488" spans="51:51" ht="13.2" x14ac:dyDescent="0.25">
      <c r="AY488" s="12"/>
    </row>
    <row r="489" spans="51:51" ht="13.2" x14ac:dyDescent="0.25">
      <c r="AY489" s="12"/>
    </row>
    <row r="490" spans="51:51" ht="13.2" x14ac:dyDescent="0.25">
      <c r="AY490" s="12"/>
    </row>
    <row r="491" spans="51:51" ht="13.2" x14ac:dyDescent="0.25">
      <c r="AY491" s="12"/>
    </row>
    <row r="492" spans="51:51" ht="13.2" x14ac:dyDescent="0.25">
      <c r="AY492" s="12"/>
    </row>
    <row r="493" spans="51:51" ht="13.2" x14ac:dyDescent="0.25">
      <c r="AY493" s="12"/>
    </row>
    <row r="494" spans="51:51" ht="13.2" x14ac:dyDescent="0.25">
      <c r="AY494" s="12"/>
    </row>
    <row r="495" spans="51:51" ht="13.2" x14ac:dyDescent="0.25">
      <c r="AY495" s="12"/>
    </row>
    <row r="496" spans="51:51" ht="13.2" x14ac:dyDescent="0.25">
      <c r="AY496" s="12"/>
    </row>
    <row r="497" spans="51:51" ht="13.2" x14ac:dyDescent="0.25">
      <c r="AY497" s="12"/>
    </row>
    <row r="498" spans="51:51" ht="13.2" x14ac:dyDescent="0.25">
      <c r="AY498" s="12"/>
    </row>
    <row r="499" spans="51:51" ht="13.2" x14ac:dyDescent="0.25">
      <c r="AY499" s="12"/>
    </row>
    <row r="500" spans="51:51" ht="13.2" x14ac:dyDescent="0.25">
      <c r="AY500" s="12"/>
    </row>
    <row r="501" spans="51:51" ht="13.2" x14ac:dyDescent="0.25">
      <c r="AY501" s="12"/>
    </row>
    <row r="502" spans="51:51" ht="13.2" x14ac:dyDescent="0.25">
      <c r="AY502" s="12"/>
    </row>
    <row r="503" spans="51:51" ht="13.2" x14ac:dyDescent="0.25">
      <c r="AY503" s="12"/>
    </row>
    <row r="504" spans="51:51" ht="13.2" x14ac:dyDescent="0.25">
      <c r="AY504" s="12"/>
    </row>
    <row r="505" spans="51:51" ht="13.2" x14ac:dyDescent="0.25">
      <c r="AY505" s="12"/>
    </row>
    <row r="506" spans="51:51" ht="13.2" x14ac:dyDescent="0.25">
      <c r="AY506" s="12"/>
    </row>
    <row r="507" spans="51:51" ht="13.2" x14ac:dyDescent="0.25">
      <c r="AY507" s="12"/>
    </row>
    <row r="508" spans="51:51" ht="13.2" x14ac:dyDescent="0.25">
      <c r="AY508" s="12"/>
    </row>
    <row r="509" spans="51:51" ht="13.2" x14ac:dyDescent="0.25">
      <c r="AY509" s="12"/>
    </row>
    <row r="510" spans="51:51" ht="13.2" x14ac:dyDescent="0.25">
      <c r="AY510" s="12"/>
    </row>
    <row r="511" spans="51:51" ht="13.2" x14ac:dyDescent="0.25">
      <c r="AY511" s="12"/>
    </row>
    <row r="512" spans="51:51" ht="13.2" x14ac:dyDescent="0.25">
      <c r="AY512" s="12"/>
    </row>
    <row r="513" spans="51:51" ht="13.2" x14ac:dyDescent="0.25">
      <c r="AY513" s="12"/>
    </row>
    <row r="514" spans="51:51" ht="13.2" x14ac:dyDescent="0.25">
      <c r="AY514" s="12"/>
    </row>
    <row r="515" spans="51:51" ht="13.2" x14ac:dyDescent="0.25">
      <c r="AY515" s="12"/>
    </row>
    <row r="516" spans="51:51" ht="13.2" x14ac:dyDescent="0.25">
      <c r="AY516" s="12"/>
    </row>
    <row r="517" spans="51:51" ht="13.2" x14ac:dyDescent="0.25">
      <c r="AY517" s="12"/>
    </row>
    <row r="518" spans="51:51" ht="13.2" x14ac:dyDescent="0.25">
      <c r="AY518" s="12"/>
    </row>
    <row r="519" spans="51:51" ht="13.2" x14ac:dyDescent="0.25">
      <c r="AY519" s="12"/>
    </row>
    <row r="520" spans="51:51" ht="13.2" x14ac:dyDescent="0.25">
      <c r="AY520" s="12"/>
    </row>
    <row r="521" spans="51:51" ht="13.2" x14ac:dyDescent="0.25">
      <c r="AY521" s="12"/>
    </row>
    <row r="522" spans="51:51" ht="13.2" x14ac:dyDescent="0.25">
      <c r="AY522" s="12"/>
    </row>
    <row r="523" spans="51:51" ht="13.2" x14ac:dyDescent="0.25">
      <c r="AY523" s="12"/>
    </row>
    <row r="524" spans="51:51" ht="13.2" x14ac:dyDescent="0.25">
      <c r="AY524" s="12"/>
    </row>
    <row r="525" spans="51:51" ht="13.2" x14ac:dyDescent="0.25">
      <c r="AY525" s="12"/>
    </row>
    <row r="526" spans="51:51" ht="13.2" x14ac:dyDescent="0.25">
      <c r="AY526" s="12"/>
    </row>
    <row r="527" spans="51:51" ht="13.2" x14ac:dyDescent="0.25">
      <c r="AY527" s="12"/>
    </row>
    <row r="528" spans="51:51" ht="13.2" x14ac:dyDescent="0.25">
      <c r="AY528" s="12"/>
    </row>
    <row r="529" spans="51:51" ht="13.2" x14ac:dyDescent="0.25">
      <c r="AY529" s="12"/>
    </row>
    <row r="530" spans="51:51" ht="13.2" x14ac:dyDescent="0.25">
      <c r="AY530" s="12"/>
    </row>
    <row r="531" spans="51:51" ht="13.2" x14ac:dyDescent="0.25">
      <c r="AY531" s="12"/>
    </row>
    <row r="532" spans="51:51" ht="13.2" x14ac:dyDescent="0.25">
      <c r="AY532" s="12"/>
    </row>
    <row r="533" spans="51:51" ht="13.2" x14ac:dyDescent="0.25">
      <c r="AY533" s="12"/>
    </row>
    <row r="534" spans="51:51" ht="13.2" x14ac:dyDescent="0.25">
      <c r="AY534" s="12"/>
    </row>
    <row r="535" spans="51:51" ht="13.2" x14ac:dyDescent="0.25">
      <c r="AY535" s="12"/>
    </row>
    <row r="536" spans="51:51" ht="13.2" x14ac:dyDescent="0.25">
      <c r="AY536" s="12"/>
    </row>
    <row r="537" spans="51:51" ht="13.2" x14ac:dyDescent="0.25">
      <c r="AY537" s="12"/>
    </row>
    <row r="538" spans="51:51" ht="13.2" x14ac:dyDescent="0.25">
      <c r="AY538" s="12"/>
    </row>
    <row r="539" spans="51:51" ht="13.2" x14ac:dyDescent="0.25">
      <c r="AY539" s="12"/>
    </row>
    <row r="540" spans="51:51" ht="13.2" x14ac:dyDescent="0.25">
      <c r="AY540" s="12"/>
    </row>
    <row r="541" spans="51:51" ht="13.2" x14ac:dyDescent="0.25">
      <c r="AY541" s="12"/>
    </row>
    <row r="542" spans="51:51" ht="13.2" x14ac:dyDescent="0.25">
      <c r="AY542" s="12"/>
    </row>
    <row r="543" spans="51:51" ht="13.2" x14ac:dyDescent="0.25">
      <c r="AY543" s="12"/>
    </row>
    <row r="544" spans="51:51" ht="13.2" x14ac:dyDescent="0.25">
      <c r="AY544" s="12"/>
    </row>
    <row r="545" spans="51:51" ht="13.2" x14ac:dyDescent="0.25">
      <c r="AY545" s="12"/>
    </row>
    <row r="546" spans="51:51" ht="13.2" x14ac:dyDescent="0.25">
      <c r="AY546" s="12"/>
    </row>
    <row r="547" spans="51:51" ht="13.2" x14ac:dyDescent="0.25">
      <c r="AY547" s="12"/>
    </row>
    <row r="548" spans="51:51" ht="13.2" x14ac:dyDescent="0.25">
      <c r="AY548" s="12"/>
    </row>
    <row r="549" spans="51:51" ht="13.2" x14ac:dyDescent="0.25">
      <c r="AY549" s="12"/>
    </row>
    <row r="550" spans="51:51" ht="13.2" x14ac:dyDescent="0.25">
      <c r="AY550" s="12"/>
    </row>
    <row r="551" spans="51:51" ht="13.2" x14ac:dyDescent="0.25">
      <c r="AY551" s="12"/>
    </row>
    <row r="552" spans="51:51" ht="13.2" x14ac:dyDescent="0.25">
      <c r="AY552" s="12"/>
    </row>
    <row r="553" spans="51:51" ht="13.2" x14ac:dyDescent="0.25">
      <c r="AY553" s="12"/>
    </row>
    <row r="554" spans="51:51" ht="13.2" x14ac:dyDescent="0.25">
      <c r="AY554" s="12"/>
    </row>
    <row r="555" spans="51:51" ht="13.2" x14ac:dyDescent="0.25">
      <c r="AY555" s="12"/>
    </row>
    <row r="556" spans="51:51" ht="13.2" x14ac:dyDescent="0.25">
      <c r="AY556" s="12"/>
    </row>
    <row r="557" spans="51:51" ht="13.2" x14ac:dyDescent="0.25">
      <c r="AY557" s="12"/>
    </row>
    <row r="558" spans="51:51" ht="13.2" x14ac:dyDescent="0.25">
      <c r="AY558" s="12"/>
    </row>
    <row r="559" spans="51:51" ht="13.2" x14ac:dyDescent="0.25">
      <c r="AY559" s="12"/>
    </row>
    <row r="560" spans="51:51" ht="13.2" x14ac:dyDescent="0.25">
      <c r="AY560" s="12"/>
    </row>
    <row r="561" spans="51:51" ht="13.2" x14ac:dyDescent="0.25">
      <c r="AY561" s="12"/>
    </row>
    <row r="562" spans="51:51" ht="13.2" x14ac:dyDescent="0.25">
      <c r="AY562" s="12"/>
    </row>
    <row r="563" spans="51:51" ht="13.2" x14ac:dyDescent="0.25">
      <c r="AY563" s="12"/>
    </row>
    <row r="564" spans="51:51" ht="13.2" x14ac:dyDescent="0.25">
      <c r="AY564" s="12"/>
    </row>
    <row r="565" spans="51:51" ht="13.2" x14ac:dyDescent="0.25">
      <c r="AY565" s="12"/>
    </row>
    <row r="566" spans="51:51" ht="13.2" x14ac:dyDescent="0.25">
      <c r="AY566" s="12"/>
    </row>
    <row r="567" spans="51:51" ht="13.2" x14ac:dyDescent="0.25">
      <c r="AY567" s="12"/>
    </row>
    <row r="568" spans="51:51" ht="13.2" x14ac:dyDescent="0.25">
      <c r="AY568" s="12"/>
    </row>
    <row r="569" spans="51:51" ht="13.2" x14ac:dyDescent="0.25">
      <c r="AY569" s="12"/>
    </row>
    <row r="570" spans="51:51" ht="13.2" x14ac:dyDescent="0.25">
      <c r="AY570" s="12"/>
    </row>
    <row r="571" spans="51:51" ht="13.2" x14ac:dyDescent="0.25">
      <c r="AY571" s="12"/>
    </row>
    <row r="572" spans="51:51" ht="13.2" x14ac:dyDescent="0.25">
      <c r="AY572" s="12"/>
    </row>
    <row r="573" spans="51:51" ht="13.2" x14ac:dyDescent="0.25">
      <c r="AY573" s="12"/>
    </row>
    <row r="574" spans="51:51" ht="13.2" x14ac:dyDescent="0.25">
      <c r="AY574" s="12"/>
    </row>
    <row r="575" spans="51:51" ht="13.2" x14ac:dyDescent="0.25">
      <c r="AY575" s="12"/>
    </row>
    <row r="576" spans="51:51" ht="13.2" x14ac:dyDescent="0.25">
      <c r="AY576" s="12"/>
    </row>
    <row r="577" spans="51:51" ht="13.2" x14ac:dyDescent="0.25">
      <c r="AY577" s="12"/>
    </row>
    <row r="578" spans="51:51" ht="13.2" x14ac:dyDescent="0.25">
      <c r="AY578" s="12"/>
    </row>
    <row r="579" spans="51:51" ht="13.2" x14ac:dyDescent="0.25">
      <c r="AY579" s="12"/>
    </row>
    <row r="580" spans="51:51" ht="13.2" x14ac:dyDescent="0.25">
      <c r="AY580" s="12"/>
    </row>
    <row r="581" spans="51:51" ht="13.2" x14ac:dyDescent="0.25">
      <c r="AY581" s="12"/>
    </row>
    <row r="582" spans="51:51" ht="13.2" x14ac:dyDescent="0.25">
      <c r="AY582" s="12"/>
    </row>
    <row r="583" spans="51:51" ht="13.2" x14ac:dyDescent="0.25">
      <c r="AY583" s="12"/>
    </row>
    <row r="584" spans="51:51" ht="13.2" x14ac:dyDescent="0.25">
      <c r="AY584" s="12"/>
    </row>
    <row r="585" spans="51:51" ht="13.2" x14ac:dyDescent="0.25">
      <c r="AY585" s="12"/>
    </row>
    <row r="586" spans="51:51" ht="13.2" x14ac:dyDescent="0.25">
      <c r="AY586" s="12"/>
    </row>
    <row r="587" spans="51:51" ht="13.2" x14ac:dyDescent="0.25">
      <c r="AY587" s="12"/>
    </row>
    <row r="588" spans="51:51" ht="13.2" x14ac:dyDescent="0.25">
      <c r="AY588" s="12"/>
    </row>
    <row r="589" spans="51:51" ht="13.2" x14ac:dyDescent="0.25">
      <c r="AY589" s="12"/>
    </row>
    <row r="590" spans="51:51" ht="13.2" x14ac:dyDescent="0.25">
      <c r="AY590" s="12"/>
    </row>
    <row r="591" spans="51:51" ht="13.2" x14ac:dyDescent="0.25">
      <c r="AY591" s="12"/>
    </row>
    <row r="592" spans="51:51" ht="13.2" x14ac:dyDescent="0.25">
      <c r="AY592" s="12"/>
    </row>
    <row r="593" spans="51:51" ht="13.2" x14ac:dyDescent="0.25">
      <c r="AY593" s="12"/>
    </row>
    <row r="594" spans="51:51" ht="13.2" x14ac:dyDescent="0.25">
      <c r="AY594" s="12"/>
    </row>
    <row r="595" spans="51:51" ht="13.2" x14ac:dyDescent="0.25">
      <c r="AY595" s="12"/>
    </row>
    <row r="596" spans="51:51" ht="13.2" x14ac:dyDescent="0.25">
      <c r="AY596" s="12"/>
    </row>
    <row r="597" spans="51:51" ht="13.2" x14ac:dyDescent="0.25">
      <c r="AY597" s="12"/>
    </row>
    <row r="598" spans="51:51" ht="13.2" x14ac:dyDescent="0.25">
      <c r="AY598" s="12"/>
    </row>
    <row r="599" spans="51:51" ht="13.2" x14ac:dyDescent="0.25">
      <c r="AY599" s="12"/>
    </row>
    <row r="600" spans="51:51" ht="13.2" x14ac:dyDescent="0.25">
      <c r="AY600" s="12"/>
    </row>
    <row r="601" spans="51:51" ht="13.2" x14ac:dyDescent="0.25">
      <c r="AY601" s="12"/>
    </row>
    <row r="602" spans="51:51" ht="13.2" x14ac:dyDescent="0.25">
      <c r="AY602" s="12"/>
    </row>
    <row r="603" spans="51:51" ht="13.2" x14ac:dyDescent="0.25">
      <c r="AY603" s="12"/>
    </row>
    <row r="604" spans="51:51" ht="13.2" x14ac:dyDescent="0.25">
      <c r="AY604" s="12"/>
    </row>
    <row r="605" spans="51:51" ht="13.2" x14ac:dyDescent="0.25">
      <c r="AY605" s="12"/>
    </row>
    <row r="606" spans="51:51" ht="13.2" x14ac:dyDescent="0.25">
      <c r="AY606" s="12"/>
    </row>
    <row r="607" spans="51:51" ht="13.2" x14ac:dyDescent="0.25">
      <c r="AY607" s="12"/>
    </row>
    <row r="608" spans="51:51" ht="13.2" x14ac:dyDescent="0.25">
      <c r="AY608" s="12"/>
    </row>
    <row r="609" spans="51:51" ht="13.2" x14ac:dyDescent="0.25">
      <c r="AY609" s="12"/>
    </row>
    <row r="610" spans="51:51" ht="13.2" x14ac:dyDescent="0.25">
      <c r="AY610" s="12"/>
    </row>
    <row r="611" spans="51:51" ht="13.2" x14ac:dyDescent="0.25">
      <c r="AY611" s="12"/>
    </row>
    <row r="612" spans="51:51" ht="13.2" x14ac:dyDescent="0.25">
      <c r="AY612" s="12"/>
    </row>
    <row r="613" spans="51:51" ht="13.2" x14ac:dyDescent="0.25">
      <c r="AY613" s="12"/>
    </row>
    <row r="614" spans="51:51" ht="13.2" x14ac:dyDescent="0.25">
      <c r="AY614" s="12"/>
    </row>
    <row r="615" spans="51:51" ht="13.2" x14ac:dyDescent="0.25">
      <c r="AY615" s="12"/>
    </row>
    <row r="616" spans="51:51" ht="13.2" x14ac:dyDescent="0.25">
      <c r="AY616" s="12"/>
    </row>
    <row r="617" spans="51:51" ht="13.2" x14ac:dyDescent="0.25">
      <c r="AY617" s="12"/>
    </row>
    <row r="618" spans="51:51" ht="13.2" x14ac:dyDescent="0.25">
      <c r="AY618" s="12"/>
    </row>
    <row r="619" spans="51:51" ht="13.2" x14ac:dyDescent="0.25">
      <c r="AY619" s="12"/>
    </row>
    <row r="620" spans="51:51" ht="13.2" x14ac:dyDescent="0.25">
      <c r="AY620" s="12"/>
    </row>
    <row r="621" spans="51:51" ht="13.2" x14ac:dyDescent="0.25">
      <c r="AY621" s="12"/>
    </row>
    <row r="622" spans="51:51" ht="13.2" x14ac:dyDescent="0.25">
      <c r="AY622" s="12"/>
    </row>
    <row r="623" spans="51:51" ht="13.2" x14ac:dyDescent="0.25">
      <c r="AY623" s="12"/>
    </row>
    <row r="624" spans="51:51" ht="13.2" x14ac:dyDescent="0.25">
      <c r="AY624" s="12"/>
    </row>
    <row r="625" spans="51:51" ht="13.2" x14ac:dyDescent="0.25">
      <c r="AY625" s="12"/>
    </row>
    <row r="626" spans="51:51" ht="13.2" x14ac:dyDescent="0.25">
      <c r="AY626" s="12"/>
    </row>
    <row r="627" spans="51:51" ht="13.2" x14ac:dyDescent="0.25">
      <c r="AY627" s="12"/>
    </row>
    <row r="628" spans="51:51" ht="13.2" x14ac:dyDescent="0.25">
      <c r="AY628" s="12"/>
    </row>
    <row r="629" spans="51:51" ht="13.2" x14ac:dyDescent="0.25">
      <c r="AY629" s="12"/>
    </row>
    <row r="630" spans="51:51" ht="13.2" x14ac:dyDescent="0.25">
      <c r="AY630" s="12"/>
    </row>
    <row r="631" spans="51:51" ht="13.2" x14ac:dyDescent="0.25">
      <c r="AY631" s="12"/>
    </row>
    <row r="632" spans="51:51" ht="13.2" x14ac:dyDescent="0.25">
      <c r="AY632" s="12"/>
    </row>
    <row r="633" spans="51:51" ht="13.2" x14ac:dyDescent="0.25">
      <c r="AY633" s="12"/>
    </row>
    <row r="634" spans="51:51" ht="13.2" x14ac:dyDescent="0.25">
      <c r="AY634" s="12"/>
    </row>
    <row r="635" spans="51:51" ht="13.2" x14ac:dyDescent="0.25">
      <c r="AY635" s="12"/>
    </row>
    <row r="636" spans="51:51" ht="13.2" x14ac:dyDescent="0.25">
      <c r="AY636" s="12"/>
    </row>
    <row r="637" spans="51:51" ht="13.2" x14ac:dyDescent="0.25">
      <c r="AY637" s="12"/>
    </row>
    <row r="638" spans="51:51" ht="13.2" x14ac:dyDescent="0.25">
      <c r="AY638" s="12"/>
    </row>
    <row r="639" spans="51:51" ht="13.2" x14ac:dyDescent="0.25">
      <c r="AY639" s="12"/>
    </row>
    <row r="640" spans="51:51" ht="13.2" x14ac:dyDescent="0.25">
      <c r="AY640" s="12"/>
    </row>
    <row r="641" spans="51:51" ht="13.2" x14ac:dyDescent="0.25">
      <c r="AY641" s="12"/>
    </row>
    <row r="642" spans="51:51" ht="13.2" x14ac:dyDescent="0.25">
      <c r="AY642" s="12"/>
    </row>
    <row r="643" spans="51:51" ht="13.2" x14ac:dyDescent="0.25">
      <c r="AY643" s="12"/>
    </row>
    <row r="644" spans="51:51" ht="13.2" x14ac:dyDescent="0.25">
      <c r="AY644" s="12"/>
    </row>
    <row r="645" spans="51:51" ht="13.2" x14ac:dyDescent="0.25">
      <c r="AY645" s="12"/>
    </row>
    <row r="646" spans="51:51" ht="13.2" x14ac:dyDescent="0.25">
      <c r="AY646" s="12"/>
    </row>
    <row r="647" spans="51:51" ht="13.2" x14ac:dyDescent="0.25">
      <c r="AY647" s="12"/>
    </row>
    <row r="648" spans="51:51" ht="13.2" x14ac:dyDescent="0.25">
      <c r="AY648" s="12"/>
    </row>
    <row r="649" spans="51:51" ht="13.2" x14ac:dyDescent="0.25">
      <c r="AY649" s="12"/>
    </row>
    <row r="650" spans="51:51" ht="13.2" x14ac:dyDescent="0.25">
      <c r="AY650" s="12"/>
    </row>
    <row r="651" spans="51:51" ht="13.2" x14ac:dyDescent="0.25">
      <c r="AY651" s="12"/>
    </row>
    <row r="652" spans="51:51" ht="13.2" x14ac:dyDescent="0.25">
      <c r="AY652" s="12"/>
    </row>
    <row r="653" spans="51:51" ht="13.2" x14ac:dyDescent="0.25">
      <c r="AY653" s="12"/>
    </row>
    <row r="654" spans="51:51" ht="13.2" x14ac:dyDescent="0.25">
      <c r="AY654" s="12"/>
    </row>
    <row r="655" spans="51:51" ht="13.2" x14ac:dyDescent="0.25">
      <c r="AY655" s="12"/>
    </row>
    <row r="656" spans="51:51" ht="13.2" x14ac:dyDescent="0.25">
      <c r="AY656" s="12"/>
    </row>
    <row r="657" spans="51:51" ht="13.2" x14ac:dyDescent="0.25">
      <c r="AY657" s="12"/>
    </row>
    <row r="658" spans="51:51" ht="13.2" x14ac:dyDescent="0.25">
      <c r="AY658" s="12"/>
    </row>
    <row r="659" spans="51:51" ht="13.2" x14ac:dyDescent="0.25">
      <c r="AY659" s="12"/>
    </row>
    <row r="660" spans="51:51" ht="13.2" x14ac:dyDescent="0.25">
      <c r="AY660" s="12"/>
    </row>
    <row r="661" spans="51:51" ht="13.2" x14ac:dyDescent="0.25">
      <c r="AY661" s="12"/>
    </row>
    <row r="662" spans="51:51" ht="13.2" x14ac:dyDescent="0.25">
      <c r="AY662" s="12"/>
    </row>
    <row r="663" spans="51:51" ht="13.2" x14ac:dyDescent="0.25">
      <c r="AY663" s="12"/>
    </row>
    <row r="664" spans="51:51" ht="13.2" x14ac:dyDescent="0.25">
      <c r="AY664" s="12"/>
    </row>
    <row r="665" spans="51:51" ht="13.2" x14ac:dyDescent="0.25">
      <c r="AY665" s="12"/>
    </row>
    <row r="666" spans="51:51" ht="13.2" x14ac:dyDescent="0.25">
      <c r="AY666" s="12"/>
    </row>
    <row r="667" spans="51:51" ht="13.2" x14ac:dyDescent="0.25">
      <c r="AY667" s="12"/>
    </row>
    <row r="668" spans="51:51" ht="13.2" x14ac:dyDescent="0.25">
      <c r="AY668" s="12"/>
    </row>
    <row r="669" spans="51:51" ht="13.2" x14ac:dyDescent="0.25">
      <c r="AY669" s="12"/>
    </row>
    <row r="670" spans="51:51" ht="13.2" x14ac:dyDescent="0.25">
      <c r="AY670" s="12"/>
    </row>
    <row r="671" spans="51:51" ht="13.2" x14ac:dyDescent="0.25">
      <c r="AY671" s="12"/>
    </row>
    <row r="672" spans="51:51" ht="13.2" x14ac:dyDescent="0.25">
      <c r="AY672" s="12"/>
    </row>
    <row r="673" spans="51:51" ht="13.2" x14ac:dyDescent="0.25">
      <c r="AY673" s="12"/>
    </row>
    <row r="674" spans="51:51" ht="13.2" x14ac:dyDescent="0.25">
      <c r="AY674" s="12"/>
    </row>
    <row r="675" spans="51:51" ht="13.2" x14ac:dyDescent="0.25">
      <c r="AY675" s="12"/>
    </row>
    <row r="676" spans="51:51" ht="13.2" x14ac:dyDescent="0.25">
      <c r="AY676" s="12"/>
    </row>
    <row r="677" spans="51:51" ht="13.2" x14ac:dyDescent="0.25">
      <c r="AY677" s="12"/>
    </row>
    <row r="678" spans="51:51" ht="13.2" x14ac:dyDescent="0.25">
      <c r="AY678" s="12"/>
    </row>
    <row r="679" spans="51:51" ht="13.2" x14ac:dyDescent="0.25">
      <c r="AY679" s="12"/>
    </row>
    <row r="680" spans="51:51" ht="13.2" x14ac:dyDescent="0.25">
      <c r="AY680" s="12"/>
    </row>
    <row r="681" spans="51:51" ht="13.2" x14ac:dyDescent="0.25">
      <c r="AY681" s="12"/>
    </row>
    <row r="682" spans="51:51" ht="13.2" x14ac:dyDescent="0.25">
      <c r="AY682" s="12"/>
    </row>
    <row r="683" spans="51:51" ht="13.2" x14ac:dyDescent="0.25">
      <c r="AY683" s="12"/>
    </row>
    <row r="684" spans="51:51" ht="13.2" x14ac:dyDescent="0.25">
      <c r="AY684" s="12"/>
    </row>
    <row r="685" spans="51:51" ht="13.2" x14ac:dyDescent="0.25">
      <c r="AY685" s="12"/>
    </row>
    <row r="686" spans="51:51" ht="13.2" x14ac:dyDescent="0.25">
      <c r="AY686" s="12"/>
    </row>
    <row r="687" spans="51:51" ht="13.2" x14ac:dyDescent="0.25">
      <c r="AY687" s="12"/>
    </row>
    <row r="688" spans="51:51" ht="13.2" x14ac:dyDescent="0.25">
      <c r="AY688" s="12"/>
    </row>
    <row r="689" spans="51:51" ht="13.2" x14ac:dyDescent="0.25">
      <c r="AY689" s="12"/>
    </row>
    <row r="690" spans="51:51" ht="13.2" x14ac:dyDescent="0.25">
      <c r="AY690" s="12"/>
    </row>
    <row r="691" spans="51:51" ht="13.2" x14ac:dyDescent="0.25">
      <c r="AY691" s="12"/>
    </row>
    <row r="692" spans="51:51" ht="13.2" x14ac:dyDescent="0.25">
      <c r="AY692" s="12"/>
    </row>
    <row r="693" spans="51:51" ht="13.2" x14ac:dyDescent="0.25">
      <c r="AY693" s="12"/>
    </row>
    <row r="694" spans="51:51" ht="13.2" x14ac:dyDescent="0.25">
      <c r="AY694" s="12"/>
    </row>
    <row r="695" spans="51:51" ht="13.2" x14ac:dyDescent="0.25">
      <c r="AY695" s="12"/>
    </row>
    <row r="696" spans="51:51" ht="13.2" x14ac:dyDescent="0.25">
      <c r="AY696" s="12"/>
    </row>
    <row r="697" spans="51:51" ht="13.2" x14ac:dyDescent="0.25">
      <c r="AY697" s="12"/>
    </row>
    <row r="698" spans="51:51" ht="13.2" x14ac:dyDescent="0.25">
      <c r="AY698" s="12"/>
    </row>
    <row r="699" spans="51:51" ht="13.2" x14ac:dyDescent="0.25">
      <c r="AY699" s="12"/>
    </row>
    <row r="700" spans="51:51" ht="13.2" x14ac:dyDescent="0.25">
      <c r="AY700" s="12"/>
    </row>
    <row r="701" spans="51:51" ht="13.2" x14ac:dyDescent="0.25">
      <c r="AY701" s="12"/>
    </row>
    <row r="702" spans="51:51" ht="13.2" x14ac:dyDescent="0.25">
      <c r="AY702" s="12"/>
    </row>
    <row r="703" spans="51:51" ht="13.2" x14ac:dyDescent="0.25">
      <c r="AY703" s="12"/>
    </row>
    <row r="704" spans="51:51" ht="13.2" x14ac:dyDescent="0.25">
      <c r="AY704" s="12"/>
    </row>
    <row r="705" spans="51:51" ht="13.2" x14ac:dyDescent="0.25">
      <c r="AY705" s="12"/>
    </row>
    <row r="706" spans="51:51" ht="13.2" x14ac:dyDescent="0.25">
      <c r="AY706" s="12"/>
    </row>
    <row r="707" spans="51:51" ht="13.2" x14ac:dyDescent="0.25">
      <c r="AY707" s="12"/>
    </row>
    <row r="708" spans="51:51" ht="13.2" x14ac:dyDescent="0.25">
      <c r="AY708" s="12"/>
    </row>
    <row r="709" spans="51:51" ht="13.2" x14ac:dyDescent="0.25">
      <c r="AY709" s="12"/>
    </row>
    <row r="710" spans="51:51" ht="13.2" x14ac:dyDescent="0.25">
      <c r="AY710" s="12"/>
    </row>
    <row r="711" spans="51:51" ht="13.2" x14ac:dyDescent="0.25">
      <c r="AY711" s="12"/>
    </row>
    <row r="712" spans="51:51" ht="13.2" x14ac:dyDescent="0.25">
      <c r="AY712" s="12"/>
    </row>
    <row r="713" spans="51:51" ht="13.2" x14ac:dyDescent="0.25">
      <c r="AY713" s="12"/>
    </row>
    <row r="714" spans="51:51" ht="13.2" x14ac:dyDescent="0.25">
      <c r="AY714" s="12"/>
    </row>
    <row r="715" spans="51:51" ht="13.2" x14ac:dyDescent="0.25">
      <c r="AY715" s="12"/>
    </row>
    <row r="716" spans="51:51" ht="13.2" x14ac:dyDescent="0.25">
      <c r="AY716" s="12"/>
    </row>
    <row r="717" spans="51:51" ht="13.2" x14ac:dyDescent="0.25">
      <c r="AY717" s="12"/>
    </row>
    <row r="718" spans="51:51" ht="13.2" x14ac:dyDescent="0.25">
      <c r="AY718" s="12"/>
    </row>
    <row r="719" spans="51:51" ht="13.2" x14ac:dyDescent="0.25">
      <c r="AY719" s="12"/>
    </row>
    <row r="720" spans="51:51" ht="13.2" x14ac:dyDescent="0.25">
      <c r="AY720" s="12"/>
    </row>
    <row r="721" spans="51:51" ht="13.2" x14ac:dyDescent="0.25">
      <c r="AY721" s="12"/>
    </row>
    <row r="722" spans="51:51" ht="13.2" x14ac:dyDescent="0.25">
      <c r="AY722" s="12"/>
    </row>
    <row r="723" spans="51:51" ht="13.2" x14ac:dyDescent="0.25">
      <c r="AY723" s="12"/>
    </row>
    <row r="724" spans="51:51" ht="13.2" x14ac:dyDescent="0.25">
      <c r="AY724" s="12"/>
    </row>
    <row r="725" spans="51:51" ht="13.2" x14ac:dyDescent="0.25">
      <c r="AY725" s="12"/>
    </row>
    <row r="726" spans="51:51" ht="13.2" x14ac:dyDescent="0.25">
      <c r="AY726" s="12"/>
    </row>
    <row r="727" spans="51:51" ht="13.2" x14ac:dyDescent="0.25">
      <c r="AY727" s="12"/>
    </row>
    <row r="728" spans="51:51" ht="13.2" x14ac:dyDescent="0.25">
      <c r="AY728" s="12"/>
    </row>
    <row r="729" spans="51:51" ht="13.2" x14ac:dyDescent="0.25">
      <c r="AY729" s="12"/>
    </row>
    <row r="730" spans="51:51" ht="13.2" x14ac:dyDescent="0.25">
      <c r="AY730" s="12"/>
    </row>
    <row r="731" spans="51:51" ht="13.2" x14ac:dyDescent="0.25">
      <c r="AY731" s="12"/>
    </row>
    <row r="732" spans="51:51" ht="13.2" x14ac:dyDescent="0.25">
      <c r="AY732" s="12"/>
    </row>
    <row r="733" spans="51:51" ht="13.2" x14ac:dyDescent="0.25">
      <c r="AY733" s="12"/>
    </row>
    <row r="734" spans="51:51" ht="13.2" x14ac:dyDescent="0.25">
      <c r="AY734" s="12"/>
    </row>
    <row r="735" spans="51:51" ht="13.2" x14ac:dyDescent="0.25">
      <c r="AY735" s="12"/>
    </row>
    <row r="736" spans="51:51" ht="13.2" x14ac:dyDescent="0.25">
      <c r="AY736" s="12"/>
    </row>
    <row r="737" spans="51:51" ht="13.2" x14ac:dyDescent="0.25">
      <c r="AY737" s="12"/>
    </row>
    <row r="738" spans="51:51" ht="13.2" x14ac:dyDescent="0.25">
      <c r="AY738" s="12"/>
    </row>
    <row r="739" spans="51:51" ht="13.2" x14ac:dyDescent="0.25">
      <c r="AY739" s="12"/>
    </row>
    <row r="740" spans="51:51" ht="13.2" x14ac:dyDescent="0.25">
      <c r="AY740" s="12"/>
    </row>
    <row r="741" spans="51:51" ht="13.2" x14ac:dyDescent="0.25">
      <c r="AY741" s="12"/>
    </row>
    <row r="742" spans="51:51" ht="13.2" x14ac:dyDescent="0.25">
      <c r="AY742" s="12"/>
    </row>
    <row r="743" spans="51:51" ht="13.2" x14ac:dyDescent="0.25">
      <c r="AY743" s="12"/>
    </row>
    <row r="744" spans="51:51" ht="13.2" x14ac:dyDescent="0.25">
      <c r="AY744" s="12"/>
    </row>
    <row r="745" spans="51:51" ht="13.2" x14ac:dyDescent="0.25">
      <c r="AY745" s="12"/>
    </row>
    <row r="746" spans="51:51" ht="13.2" x14ac:dyDescent="0.25">
      <c r="AY746" s="12"/>
    </row>
    <row r="747" spans="51:51" ht="13.2" x14ac:dyDescent="0.25">
      <c r="AY747" s="12"/>
    </row>
    <row r="748" spans="51:51" ht="13.2" x14ac:dyDescent="0.25">
      <c r="AY748" s="12"/>
    </row>
    <row r="749" spans="51:51" ht="13.2" x14ac:dyDescent="0.25">
      <c r="AY749" s="12"/>
    </row>
    <row r="750" spans="51:51" ht="13.2" x14ac:dyDescent="0.25">
      <c r="AY750" s="12"/>
    </row>
    <row r="751" spans="51:51" ht="13.2" x14ac:dyDescent="0.25">
      <c r="AY751" s="12"/>
    </row>
    <row r="752" spans="51:51" ht="13.2" x14ac:dyDescent="0.25">
      <c r="AY752" s="12"/>
    </row>
    <row r="753" spans="51:51" ht="13.2" x14ac:dyDescent="0.25">
      <c r="AY753" s="12"/>
    </row>
    <row r="754" spans="51:51" ht="13.2" x14ac:dyDescent="0.25">
      <c r="AY754" s="12"/>
    </row>
    <row r="755" spans="51:51" ht="13.2" x14ac:dyDescent="0.25">
      <c r="AY755" s="12"/>
    </row>
    <row r="756" spans="51:51" ht="13.2" x14ac:dyDescent="0.25">
      <c r="AY756" s="12"/>
    </row>
    <row r="757" spans="51:51" ht="13.2" x14ac:dyDescent="0.25">
      <c r="AY757" s="12"/>
    </row>
    <row r="758" spans="51:51" ht="13.2" x14ac:dyDescent="0.25">
      <c r="AY758" s="12"/>
    </row>
    <row r="759" spans="51:51" ht="13.2" x14ac:dyDescent="0.25">
      <c r="AY759" s="12"/>
    </row>
    <row r="760" spans="51:51" ht="13.2" x14ac:dyDescent="0.25">
      <c r="AY760" s="12"/>
    </row>
    <row r="761" spans="51:51" ht="13.2" x14ac:dyDescent="0.25">
      <c r="AY761" s="12"/>
    </row>
    <row r="762" spans="51:51" ht="13.2" x14ac:dyDescent="0.25">
      <c r="AY762" s="12"/>
    </row>
    <row r="763" spans="51:51" ht="13.2" x14ac:dyDescent="0.25">
      <c r="AY763" s="12"/>
    </row>
    <row r="764" spans="51:51" ht="13.2" x14ac:dyDescent="0.25">
      <c r="AY764" s="12"/>
    </row>
    <row r="765" spans="51:51" ht="13.2" x14ac:dyDescent="0.25">
      <c r="AY765" s="12"/>
    </row>
    <row r="766" spans="51:51" ht="13.2" x14ac:dyDescent="0.25">
      <c r="AY766" s="12"/>
    </row>
    <row r="767" spans="51:51" ht="13.2" x14ac:dyDescent="0.25">
      <c r="AY767" s="12"/>
    </row>
    <row r="768" spans="51:51" ht="13.2" x14ac:dyDescent="0.25">
      <c r="AY768" s="12"/>
    </row>
    <row r="769" spans="51:51" ht="13.2" x14ac:dyDescent="0.25">
      <c r="AY769" s="12"/>
    </row>
    <row r="770" spans="51:51" ht="13.2" x14ac:dyDescent="0.25">
      <c r="AY770" s="12"/>
    </row>
    <row r="771" spans="51:51" ht="13.2" x14ac:dyDescent="0.25">
      <c r="AY771" s="12"/>
    </row>
    <row r="772" spans="51:51" ht="13.2" x14ac:dyDescent="0.25">
      <c r="AY772" s="12"/>
    </row>
    <row r="773" spans="51:51" ht="13.2" x14ac:dyDescent="0.25">
      <c r="AY773" s="12"/>
    </row>
    <row r="774" spans="51:51" ht="13.2" x14ac:dyDescent="0.25">
      <c r="AY774" s="12"/>
    </row>
    <row r="775" spans="51:51" ht="13.2" x14ac:dyDescent="0.25">
      <c r="AY775" s="12"/>
    </row>
    <row r="776" spans="51:51" ht="13.2" x14ac:dyDescent="0.25">
      <c r="AY776" s="12"/>
    </row>
    <row r="777" spans="51:51" ht="13.2" x14ac:dyDescent="0.25">
      <c r="AY777" s="12"/>
    </row>
    <row r="778" spans="51:51" ht="13.2" x14ac:dyDescent="0.25">
      <c r="AY778" s="12"/>
    </row>
    <row r="779" spans="51:51" ht="13.2" x14ac:dyDescent="0.25">
      <c r="AY779" s="12"/>
    </row>
    <row r="780" spans="51:51" ht="13.2" x14ac:dyDescent="0.25">
      <c r="AY780" s="12"/>
    </row>
    <row r="781" spans="51:51" ht="13.2" x14ac:dyDescent="0.25">
      <c r="AY781" s="12"/>
    </row>
    <row r="782" spans="51:51" ht="13.2" x14ac:dyDescent="0.25">
      <c r="AY782" s="12"/>
    </row>
    <row r="783" spans="51:51" ht="13.2" x14ac:dyDescent="0.25">
      <c r="AY783" s="12"/>
    </row>
    <row r="784" spans="51:51" ht="13.2" x14ac:dyDescent="0.25">
      <c r="AY784" s="12"/>
    </row>
    <row r="785" spans="51:51" ht="13.2" x14ac:dyDescent="0.25">
      <c r="AY785" s="12"/>
    </row>
    <row r="786" spans="51:51" ht="13.2" x14ac:dyDescent="0.25">
      <c r="AY786" s="12"/>
    </row>
    <row r="787" spans="51:51" ht="13.2" x14ac:dyDescent="0.25">
      <c r="AY787" s="12"/>
    </row>
    <row r="788" spans="51:51" ht="13.2" x14ac:dyDescent="0.25">
      <c r="AY788" s="12"/>
    </row>
    <row r="789" spans="51:51" ht="13.2" x14ac:dyDescent="0.25">
      <c r="AY789" s="12"/>
    </row>
    <row r="790" spans="51:51" ht="13.2" x14ac:dyDescent="0.25">
      <c r="AY790" s="12"/>
    </row>
    <row r="791" spans="51:51" ht="13.2" x14ac:dyDescent="0.25">
      <c r="AY791" s="12"/>
    </row>
    <row r="792" spans="51:51" ht="13.2" x14ac:dyDescent="0.25">
      <c r="AY792" s="12"/>
    </row>
    <row r="793" spans="51:51" ht="13.2" x14ac:dyDescent="0.25">
      <c r="AY793" s="12"/>
    </row>
    <row r="794" spans="51:51" ht="13.2" x14ac:dyDescent="0.25">
      <c r="AY794" s="12"/>
    </row>
    <row r="795" spans="51:51" ht="13.2" x14ac:dyDescent="0.25">
      <c r="AY795" s="12"/>
    </row>
    <row r="796" spans="51:51" ht="13.2" x14ac:dyDescent="0.25">
      <c r="AY796" s="12"/>
    </row>
    <row r="797" spans="51:51" ht="13.2" x14ac:dyDescent="0.25">
      <c r="AY797" s="12"/>
    </row>
    <row r="798" spans="51:51" ht="13.2" x14ac:dyDescent="0.25">
      <c r="AY798" s="12"/>
    </row>
    <row r="799" spans="51:51" ht="13.2" x14ac:dyDescent="0.25">
      <c r="AY799" s="12"/>
    </row>
    <row r="800" spans="51:51" ht="13.2" x14ac:dyDescent="0.25">
      <c r="AY800" s="12"/>
    </row>
    <row r="801" spans="51:51" ht="13.2" x14ac:dyDescent="0.25">
      <c r="AY801" s="12"/>
    </row>
    <row r="802" spans="51:51" ht="13.2" x14ac:dyDescent="0.25">
      <c r="AY802" s="12"/>
    </row>
    <row r="803" spans="51:51" ht="13.2" x14ac:dyDescent="0.25">
      <c r="AY803" s="12"/>
    </row>
    <row r="804" spans="51:51" ht="13.2" x14ac:dyDescent="0.25">
      <c r="AY804" s="12"/>
    </row>
    <row r="805" spans="51:51" ht="13.2" x14ac:dyDescent="0.25">
      <c r="AY805" s="12"/>
    </row>
    <row r="806" spans="51:51" ht="13.2" x14ac:dyDescent="0.25">
      <c r="AY806" s="12"/>
    </row>
    <row r="807" spans="51:51" ht="13.2" x14ac:dyDescent="0.25">
      <c r="AY807" s="12"/>
    </row>
    <row r="808" spans="51:51" ht="13.2" x14ac:dyDescent="0.25">
      <c r="AY808" s="12"/>
    </row>
    <row r="809" spans="51:51" ht="13.2" x14ac:dyDescent="0.25">
      <c r="AY809" s="12"/>
    </row>
    <row r="810" spans="51:51" ht="13.2" x14ac:dyDescent="0.25">
      <c r="AY810" s="12"/>
    </row>
    <row r="811" spans="51:51" ht="13.2" x14ac:dyDescent="0.25">
      <c r="AY811" s="12"/>
    </row>
    <row r="812" spans="51:51" ht="13.2" x14ac:dyDescent="0.25">
      <c r="AY812" s="12"/>
    </row>
    <row r="813" spans="51:51" ht="13.2" x14ac:dyDescent="0.25">
      <c r="AY813" s="12"/>
    </row>
    <row r="814" spans="51:51" ht="13.2" x14ac:dyDescent="0.25">
      <c r="AY814" s="12"/>
    </row>
    <row r="815" spans="51:51" ht="13.2" x14ac:dyDescent="0.25">
      <c r="AY815" s="12"/>
    </row>
    <row r="816" spans="51:51" ht="13.2" x14ac:dyDescent="0.25">
      <c r="AY816" s="12"/>
    </row>
    <row r="817" spans="51:51" ht="13.2" x14ac:dyDescent="0.25">
      <c r="AY817" s="12"/>
    </row>
    <row r="818" spans="51:51" ht="13.2" x14ac:dyDescent="0.25">
      <c r="AY818" s="12"/>
    </row>
    <row r="819" spans="51:51" ht="13.2" x14ac:dyDescent="0.25">
      <c r="AY819" s="12"/>
    </row>
    <row r="820" spans="51:51" ht="13.2" x14ac:dyDescent="0.25">
      <c r="AY820" s="12"/>
    </row>
    <row r="821" spans="51:51" ht="13.2" x14ac:dyDescent="0.25">
      <c r="AY821" s="12"/>
    </row>
    <row r="822" spans="51:51" ht="13.2" x14ac:dyDescent="0.25">
      <c r="AY822" s="12"/>
    </row>
    <row r="823" spans="51:51" ht="13.2" x14ac:dyDescent="0.25">
      <c r="AY823" s="12"/>
    </row>
    <row r="824" spans="51:51" ht="13.2" x14ac:dyDescent="0.25">
      <c r="AY824" s="12"/>
    </row>
    <row r="825" spans="51:51" ht="13.2" x14ac:dyDescent="0.25">
      <c r="AY825" s="12"/>
    </row>
    <row r="826" spans="51:51" ht="13.2" x14ac:dyDescent="0.25">
      <c r="AY826" s="12"/>
    </row>
    <row r="827" spans="51:51" ht="13.2" x14ac:dyDescent="0.25">
      <c r="AY827" s="12"/>
    </row>
    <row r="828" spans="51:51" ht="13.2" x14ac:dyDescent="0.25">
      <c r="AY828" s="12"/>
    </row>
    <row r="829" spans="51:51" ht="13.2" x14ac:dyDescent="0.25">
      <c r="AY829" s="12"/>
    </row>
    <row r="830" spans="51:51" ht="13.2" x14ac:dyDescent="0.25">
      <c r="AY830" s="12"/>
    </row>
    <row r="831" spans="51:51" ht="13.2" x14ac:dyDescent="0.25">
      <c r="AY831" s="12"/>
    </row>
    <row r="832" spans="51:51" ht="13.2" x14ac:dyDescent="0.25">
      <c r="AY832" s="12"/>
    </row>
    <row r="833" spans="51:51" ht="13.2" x14ac:dyDescent="0.25">
      <c r="AY833" s="12"/>
    </row>
    <row r="834" spans="51:51" ht="13.2" x14ac:dyDescent="0.25">
      <c r="AY834" s="12"/>
    </row>
    <row r="835" spans="51:51" ht="13.2" x14ac:dyDescent="0.25">
      <c r="AY835" s="12"/>
    </row>
    <row r="836" spans="51:51" ht="13.2" x14ac:dyDescent="0.25">
      <c r="AY836" s="12"/>
    </row>
    <row r="837" spans="51:51" ht="13.2" x14ac:dyDescent="0.25">
      <c r="AY837" s="12"/>
    </row>
    <row r="838" spans="51:51" ht="13.2" x14ac:dyDescent="0.25">
      <c r="AY838" s="12"/>
    </row>
    <row r="839" spans="51:51" ht="13.2" x14ac:dyDescent="0.25">
      <c r="AY839" s="12"/>
    </row>
    <row r="840" spans="51:51" ht="13.2" x14ac:dyDescent="0.25">
      <c r="AY840" s="12"/>
    </row>
    <row r="841" spans="51:51" ht="13.2" x14ac:dyDescent="0.25">
      <c r="AY841" s="12"/>
    </row>
    <row r="842" spans="51:51" ht="13.2" x14ac:dyDescent="0.25">
      <c r="AY842" s="12"/>
    </row>
    <row r="843" spans="51:51" ht="13.2" x14ac:dyDescent="0.25">
      <c r="AY843" s="12"/>
    </row>
    <row r="844" spans="51:51" ht="13.2" x14ac:dyDescent="0.25">
      <c r="AY844" s="12"/>
    </row>
    <row r="845" spans="51:51" ht="13.2" x14ac:dyDescent="0.25">
      <c r="AY845" s="12"/>
    </row>
    <row r="846" spans="51:51" ht="13.2" x14ac:dyDescent="0.25">
      <c r="AY846" s="12"/>
    </row>
    <row r="847" spans="51:51" ht="13.2" x14ac:dyDescent="0.25">
      <c r="AY847" s="12"/>
    </row>
    <row r="848" spans="51:51" ht="13.2" x14ac:dyDescent="0.25">
      <c r="AY848" s="12"/>
    </row>
    <row r="849" spans="51:51" ht="13.2" x14ac:dyDescent="0.25">
      <c r="AY849" s="12"/>
    </row>
    <row r="850" spans="51:51" ht="13.2" x14ac:dyDescent="0.25">
      <c r="AY850" s="12"/>
    </row>
    <row r="851" spans="51:51" ht="13.2" x14ac:dyDescent="0.25">
      <c r="AY851" s="12"/>
    </row>
    <row r="852" spans="51:51" ht="13.2" x14ac:dyDescent="0.25">
      <c r="AY852" s="12"/>
    </row>
    <row r="853" spans="51:51" ht="13.2" x14ac:dyDescent="0.25">
      <c r="AY853" s="12"/>
    </row>
    <row r="854" spans="51:51" ht="13.2" x14ac:dyDescent="0.25">
      <c r="AY854" s="12"/>
    </row>
    <row r="855" spans="51:51" ht="13.2" x14ac:dyDescent="0.25">
      <c r="AY855" s="12"/>
    </row>
    <row r="856" spans="51:51" ht="13.2" x14ac:dyDescent="0.25">
      <c r="AY856" s="12"/>
    </row>
    <row r="857" spans="51:51" ht="13.2" x14ac:dyDescent="0.25">
      <c r="AY857" s="12"/>
    </row>
    <row r="858" spans="51:51" ht="13.2" x14ac:dyDescent="0.25">
      <c r="AY858" s="12"/>
    </row>
    <row r="859" spans="51:51" ht="13.2" x14ac:dyDescent="0.25">
      <c r="AY859" s="12"/>
    </row>
    <row r="860" spans="51:51" ht="13.2" x14ac:dyDescent="0.25">
      <c r="AY860" s="12"/>
    </row>
    <row r="861" spans="51:51" ht="13.2" x14ac:dyDescent="0.25">
      <c r="AY861" s="12"/>
    </row>
    <row r="862" spans="51:51" ht="13.2" x14ac:dyDescent="0.25">
      <c r="AY862" s="12"/>
    </row>
    <row r="863" spans="51:51" ht="13.2" x14ac:dyDescent="0.25">
      <c r="AY863" s="12"/>
    </row>
    <row r="864" spans="51:51" ht="13.2" x14ac:dyDescent="0.25">
      <c r="AY864" s="12"/>
    </row>
    <row r="865" spans="51:51" ht="13.2" x14ac:dyDescent="0.25">
      <c r="AY865" s="12"/>
    </row>
    <row r="866" spans="51:51" ht="13.2" x14ac:dyDescent="0.25">
      <c r="AY866" s="12"/>
    </row>
    <row r="867" spans="51:51" ht="13.2" x14ac:dyDescent="0.25">
      <c r="AY867" s="12"/>
    </row>
    <row r="868" spans="51:51" ht="13.2" x14ac:dyDescent="0.25">
      <c r="AY868" s="12"/>
    </row>
    <row r="869" spans="51:51" ht="13.2" x14ac:dyDescent="0.25">
      <c r="AY869" s="12"/>
    </row>
    <row r="870" spans="51:51" ht="13.2" x14ac:dyDescent="0.25">
      <c r="AY870" s="12"/>
    </row>
    <row r="871" spans="51:51" ht="13.2" x14ac:dyDescent="0.25">
      <c r="AY871" s="12"/>
    </row>
    <row r="872" spans="51:51" ht="13.2" x14ac:dyDescent="0.25">
      <c r="AY872" s="12"/>
    </row>
    <row r="873" spans="51:51" ht="13.2" x14ac:dyDescent="0.25">
      <c r="AY873" s="12"/>
    </row>
    <row r="874" spans="51:51" ht="13.2" x14ac:dyDescent="0.25">
      <c r="AY874" s="12"/>
    </row>
    <row r="875" spans="51:51" ht="13.2" x14ac:dyDescent="0.25">
      <c r="AY875" s="12"/>
    </row>
    <row r="876" spans="51:51" ht="13.2" x14ac:dyDescent="0.25">
      <c r="AY876" s="12"/>
    </row>
    <row r="877" spans="51:51" ht="13.2" x14ac:dyDescent="0.25">
      <c r="AY877" s="12"/>
    </row>
    <row r="878" spans="51:51" ht="13.2" x14ac:dyDescent="0.25">
      <c r="AY878" s="12"/>
    </row>
    <row r="879" spans="51:51" ht="13.2" x14ac:dyDescent="0.25">
      <c r="AY879" s="12"/>
    </row>
    <row r="880" spans="51:51" ht="13.2" x14ac:dyDescent="0.25">
      <c r="AY880" s="12"/>
    </row>
    <row r="881" spans="51:51" ht="13.2" x14ac:dyDescent="0.25">
      <c r="AY881" s="12"/>
    </row>
    <row r="882" spans="51:51" ht="13.2" x14ac:dyDescent="0.25">
      <c r="AY882" s="12"/>
    </row>
    <row r="883" spans="51:51" ht="13.2" x14ac:dyDescent="0.25">
      <c r="AY883" s="12"/>
    </row>
    <row r="884" spans="51:51" ht="13.2" x14ac:dyDescent="0.25">
      <c r="AY884" s="12"/>
    </row>
    <row r="885" spans="51:51" ht="13.2" x14ac:dyDescent="0.25">
      <c r="AY885" s="12"/>
    </row>
    <row r="886" spans="51:51" ht="13.2" x14ac:dyDescent="0.25">
      <c r="AY886" s="12"/>
    </row>
    <row r="887" spans="51:51" ht="13.2" x14ac:dyDescent="0.25">
      <c r="AY887" s="12"/>
    </row>
    <row r="888" spans="51:51" ht="13.2" x14ac:dyDescent="0.25">
      <c r="AY888" s="12"/>
    </row>
    <row r="889" spans="51:51" ht="13.2" x14ac:dyDescent="0.25">
      <c r="AY889" s="12"/>
    </row>
    <row r="890" spans="51:51" ht="13.2" x14ac:dyDescent="0.25">
      <c r="AY890" s="12"/>
    </row>
    <row r="891" spans="51:51" ht="13.2" x14ac:dyDescent="0.25">
      <c r="AY891" s="12"/>
    </row>
    <row r="892" spans="51:51" ht="13.2" x14ac:dyDescent="0.25">
      <c r="AY892" s="12"/>
    </row>
    <row r="893" spans="51:51" ht="13.2" x14ac:dyDescent="0.25">
      <c r="AY893" s="12"/>
    </row>
    <row r="894" spans="51:51" ht="13.2" x14ac:dyDescent="0.25">
      <c r="AY894" s="12"/>
    </row>
    <row r="895" spans="51:51" ht="13.2" x14ac:dyDescent="0.25">
      <c r="AY895" s="12"/>
    </row>
    <row r="896" spans="51:51" ht="13.2" x14ac:dyDescent="0.25">
      <c r="AY896" s="12"/>
    </row>
    <row r="897" spans="51:51" ht="13.2" x14ac:dyDescent="0.25">
      <c r="AY897" s="12"/>
    </row>
    <row r="898" spans="51:51" ht="13.2" x14ac:dyDescent="0.25">
      <c r="AY898" s="12"/>
    </row>
    <row r="899" spans="51:51" ht="13.2" x14ac:dyDescent="0.25">
      <c r="AY899" s="12"/>
    </row>
    <row r="900" spans="51:51" ht="13.2" x14ac:dyDescent="0.25">
      <c r="AY900" s="12"/>
    </row>
    <row r="901" spans="51:51" ht="13.2" x14ac:dyDescent="0.25">
      <c r="AY901" s="12"/>
    </row>
    <row r="902" spans="51:51" ht="13.2" x14ac:dyDescent="0.25">
      <c r="AY902" s="12"/>
    </row>
    <row r="903" spans="51:51" ht="13.2" x14ac:dyDescent="0.25">
      <c r="AY903" s="12"/>
    </row>
    <row r="904" spans="51:51" ht="13.2" x14ac:dyDescent="0.25">
      <c r="AY904" s="12"/>
    </row>
    <row r="905" spans="51:51" ht="13.2" x14ac:dyDescent="0.25">
      <c r="AY905" s="12"/>
    </row>
    <row r="906" spans="51:51" ht="13.2" x14ac:dyDescent="0.25">
      <c r="AY906" s="12"/>
    </row>
    <row r="907" spans="51:51" ht="13.2" x14ac:dyDescent="0.25">
      <c r="AY907" s="12"/>
    </row>
    <row r="908" spans="51:51" ht="13.2" x14ac:dyDescent="0.25">
      <c r="AY908" s="12"/>
    </row>
    <row r="909" spans="51:51" ht="13.2" x14ac:dyDescent="0.25">
      <c r="AY909" s="12"/>
    </row>
    <row r="910" spans="51:51" ht="13.2" x14ac:dyDescent="0.25">
      <c r="AY910" s="12"/>
    </row>
    <row r="911" spans="51:51" ht="13.2" x14ac:dyDescent="0.25">
      <c r="AY911" s="12"/>
    </row>
    <row r="912" spans="51:51" ht="13.2" x14ac:dyDescent="0.25">
      <c r="AY912" s="12"/>
    </row>
    <row r="913" spans="51:51" ht="13.2" x14ac:dyDescent="0.25">
      <c r="AY913" s="12"/>
    </row>
    <row r="914" spans="51:51" ht="13.2" x14ac:dyDescent="0.25">
      <c r="AY914" s="12"/>
    </row>
    <row r="915" spans="51:51" ht="13.2" x14ac:dyDescent="0.25">
      <c r="AY915" s="12"/>
    </row>
    <row r="916" spans="51:51" ht="13.2" x14ac:dyDescent="0.25">
      <c r="AY916" s="12"/>
    </row>
    <row r="917" spans="51:51" ht="13.2" x14ac:dyDescent="0.25">
      <c r="AY917" s="12"/>
    </row>
    <row r="918" spans="51:51" ht="13.2" x14ac:dyDescent="0.25">
      <c r="AY918" s="12"/>
    </row>
    <row r="919" spans="51:51" ht="13.2" x14ac:dyDescent="0.25">
      <c r="AY919" s="12"/>
    </row>
    <row r="920" spans="51:51" ht="13.2" x14ac:dyDescent="0.25">
      <c r="AY920" s="12"/>
    </row>
    <row r="921" spans="51:51" ht="13.2" x14ac:dyDescent="0.25">
      <c r="AY921" s="12"/>
    </row>
    <row r="922" spans="51:51" ht="13.2" x14ac:dyDescent="0.25">
      <c r="AY922" s="12"/>
    </row>
    <row r="923" spans="51:51" ht="13.2" x14ac:dyDescent="0.25">
      <c r="AY923" s="12"/>
    </row>
    <row r="924" spans="51:51" ht="13.2" x14ac:dyDescent="0.25">
      <c r="AY924" s="12"/>
    </row>
    <row r="925" spans="51:51" ht="13.2" x14ac:dyDescent="0.25">
      <c r="AY925" s="12"/>
    </row>
    <row r="926" spans="51:51" ht="13.2" x14ac:dyDescent="0.25">
      <c r="AY926" s="12"/>
    </row>
    <row r="927" spans="51:51" ht="13.2" x14ac:dyDescent="0.25">
      <c r="AY927" s="12"/>
    </row>
    <row r="928" spans="51:51" ht="13.2" x14ac:dyDescent="0.25">
      <c r="AY928" s="12"/>
    </row>
    <row r="929" spans="51:51" ht="13.2" x14ac:dyDescent="0.25">
      <c r="AY929" s="12"/>
    </row>
    <row r="930" spans="51:51" ht="13.2" x14ac:dyDescent="0.25">
      <c r="AY930" s="12"/>
    </row>
    <row r="931" spans="51:51" ht="13.2" x14ac:dyDescent="0.25">
      <c r="AY931" s="12"/>
    </row>
    <row r="932" spans="51:51" ht="13.2" x14ac:dyDescent="0.25">
      <c r="AY932" s="12"/>
    </row>
    <row r="933" spans="51:51" ht="13.2" x14ac:dyDescent="0.25">
      <c r="AY933" s="12"/>
    </row>
    <row r="934" spans="51:51" ht="13.2" x14ac:dyDescent="0.25">
      <c r="AY934" s="12"/>
    </row>
    <row r="935" spans="51:51" ht="13.2" x14ac:dyDescent="0.25">
      <c r="AY935" s="12"/>
    </row>
    <row r="936" spans="51:51" ht="13.2" x14ac:dyDescent="0.25">
      <c r="AY936" s="12"/>
    </row>
    <row r="937" spans="51:51" ht="13.2" x14ac:dyDescent="0.25">
      <c r="AY937" s="12"/>
    </row>
    <row r="938" spans="51:51" ht="13.2" x14ac:dyDescent="0.25">
      <c r="AY938" s="12"/>
    </row>
    <row r="939" spans="51:51" ht="13.2" x14ac:dyDescent="0.25">
      <c r="AY939" s="12"/>
    </row>
    <row r="940" spans="51:51" ht="13.2" x14ac:dyDescent="0.25">
      <c r="AY940" s="12"/>
    </row>
    <row r="941" spans="51:51" ht="13.2" x14ac:dyDescent="0.25">
      <c r="AY941" s="12"/>
    </row>
    <row r="942" spans="51:51" ht="13.2" x14ac:dyDescent="0.25">
      <c r="AY942" s="12"/>
    </row>
    <row r="943" spans="51:51" ht="13.2" x14ac:dyDescent="0.25">
      <c r="AY943" s="12"/>
    </row>
    <row r="944" spans="51:51" ht="13.2" x14ac:dyDescent="0.25">
      <c r="AY944" s="12"/>
    </row>
    <row r="945" spans="51:51" ht="13.2" x14ac:dyDescent="0.25">
      <c r="AY945" s="12"/>
    </row>
    <row r="946" spans="51:51" ht="13.2" x14ac:dyDescent="0.25">
      <c r="AY946" s="12"/>
    </row>
    <row r="947" spans="51:51" ht="13.2" x14ac:dyDescent="0.25">
      <c r="AY947" s="12"/>
    </row>
    <row r="948" spans="51:51" ht="13.2" x14ac:dyDescent="0.25">
      <c r="AY948" s="12"/>
    </row>
    <row r="949" spans="51:51" ht="13.2" x14ac:dyDescent="0.25">
      <c r="AY949" s="12"/>
    </row>
    <row r="950" spans="51:51" ht="13.2" x14ac:dyDescent="0.25">
      <c r="AY950" s="12"/>
    </row>
    <row r="951" spans="51:51" ht="13.2" x14ac:dyDescent="0.25">
      <c r="AY951" s="12"/>
    </row>
    <row r="952" spans="51:51" ht="13.2" x14ac:dyDescent="0.25">
      <c r="AY952" s="12"/>
    </row>
    <row r="953" spans="51:51" ht="13.2" x14ac:dyDescent="0.25">
      <c r="AY953" s="12"/>
    </row>
    <row r="954" spans="51:51" ht="13.2" x14ac:dyDescent="0.25">
      <c r="AY954" s="12"/>
    </row>
    <row r="955" spans="51:51" ht="13.2" x14ac:dyDescent="0.25">
      <c r="AY955" s="12"/>
    </row>
    <row r="956" spans="51:51" ht="13.2" x14ac:dyDescent="0.25">
      <c r="AY956" s="12"/>
    </row>
    <row r="957" spans="51:51" ht="13.2" x14ac:dyDescent="0.25">
      <c r="AY957" s="12"/>
    </row>
    <row r="958" spans="51:51" ht="13.2" x14ac:dyDescent="0.25">
      <c r="AY958" s="12"/>
    </row>
    <row r="959" spans="51:51" ht="13.2" x14ac:dyDescent="0.25">
      <c r="AY959" s="12"/>
    </row>
    <row r="960" spans="51:51" ht="13.2" x14ac:dyDescent="0.25">
      <c r="AY960" s="12"/>
    </row>
    <row r="961" spans="51:51" ht="13.2" x14ac:dyDescent="0.25">
      <c r="AY961" s="12"/>
    </row>
    <row r="962" spans="51:51" ht="13.2" x14ac:dyDescent="0.25">
      <c r="AY962" s="12"/>
    </row>
    <row r="963" spans="51:51" ht="13.2" x14ac:dyDescent="0.25">
      <c r="AY963" s="12"/>
    </row>
    <row r="964" spans="51:51" ht="13.2" x14ac:dyDescent="0.25">
      <c r="AY964" s="12"/>
    </row>
    <row r="965" spans="51:51" ht="13.2" x14ac:dyDescent="0.25">
      <c r="AY965" s="12"/>
    </row>
    <row r="966" spans="51:51" ht="13.2" x14ac:dyDescent="0.25">
      <c r="AY966" s="12"/>
    </row>
    <row r="967" spans="51:51" ht="13.2" x14ac:dyDescent="0.25">
      <c r="AY967" s="12"/>
    </row>
    <row r="968" spans="51:51" ht="13.2" x14ac:dyDescent="0.25">
      <c r="AY968" s="12"/>
    </row>
    <row r="969" spans="51:51" ht="13.2" x14ac:dyDescent="0.25">
      <c r="AY969" s="12"/>
    </row>
    <row r="970" spans="51:51" ht="13.2" x14ac:dyDescent="0.25">
      <c r="AY970" s="12"/>
    </row>
    <row r="971" spans="51:51" ht="13.2" x14ac:dyDescent="0.25">
      <c r="AY971" s="12"/>
    </row>
    <row r="972" spans="51:51" ht="13.2" x14ac:dyDescent="0.25">
      <c r="AY972" s="12"/>
    </row>
    <row r="973" spans="51:51" ht="13.2" x14ac:dyDescent="0.25">
      <c r="AY973" s="12"/>
    </row>
    <row r="974" spans="51:51" ht="13.2" x14ac:dyDescent="0.25">
      <c r="AY974" s="12"/>
    </row>
    <row r="975" spans="51:51" ht="13.2" x14ac:dyDescent="0.25">
      <c r="AY975" s="12"/>
    </row>
    <row r="976" spans="51:51" ht="13.2" x14ac:dyDescent="0.25">
      <c r="AY976" s="12"/>
    </row>
    <row r="977" spans="51:51" ht="13.2" x14ac:dyDescent="0.25">
      <c r="AY977" s="12"/>
    </row>
    <row r="978" spans="51:51" ht="13.2" x14ac:dyDescent="0.25">
      <c r="AY978" s="12"/>
    </row>
    <row r="979" spans="51:51" ht="13.2" x14ac:dyDescent="0.25">
      <c r="AY979" s="12"/>
    </row>
    <row r="980" spans="51:51" ht="13.2" x14ac:dyDescent="0.25">
      <c r="AY980" s="12"/>
    </row>
    <row r="981" spans="51:51" ht="13.2" x14ac:dyDescent="0.25">
      <c r="AY981" s="12"/>
    </row>
    <row r="982" spans="51:51" ht="13.2" x14ac:dyDescent="0.25">
      <c r="AY982" s="12"/>
    </row>
    <row r="983" spans="51:51" ht="13.2" x14ac:dyDescent="0.25">
      <c r="AY983" s="12"/>
    </row>
    <row r="984" spans="51:51" ht="13.2" x14ac:dyDescent="0.25">
      <c r="AY984" s="12"/>
    </row>
    <row r="985" spans="51:51" ht="13.2" x14ac:dyDescent="0.25">
      <c r="AY985" s="12"/>
    </row>
    <row r="986" spans="51:51" ht="13.2" x14ac:dyDescent="0.25">
      <c r="AY986" s="12"/>
    </row>
    <row r="987" spans="51:51" ht="13.2" x14ac:dyDescent="0.25">
      <c r="AY987" s="12"/>
    </row>
    <row r="988" spans="51:51" ht="13.2" x14ac:dyDescent="0.25">
      <c r="AY988" s="12"/>
    </row>
    <row r="989" spans="51:51" ht="13.2" x14ac:dyDescent="0.25">
      <c r="AY989" s="12"/>
    </row>
    <row r="990" spans="51:51" ht="13.2" x14ac:dyDescent="0.25">
      <c r="AY990" s="12"/>
    </row>
    <row r="991" spans="51:51" ht="13.2" x14ac:dyDescent="0.25">
      <c r="AY991" s="12"/>
    </row>
    <row r="992" spans="51:51" ht="13.2" x14ac:dyDescent="0.25">
      <c r="AY992" s="12"/>
    </row>
    <row r="993" spans="51:51" ht="13.2" x14ac:dyDescent="0.25">
      <c r="AY993" s="12"/>
    </row>
    <row r="994" spans="51:51" ht="13.2" x14ac:dyDescent="0.25">
      <c r="AY994" s="12"/>
    </row>
    <row r="995" spans="51:51" ht="13.2" x14ac:dyDescent="0.25">
      <c r="AY995" s="12"/>
    </row>
    <row r="996" spans="51:51" ht="13.2" x14ac:dyDescent="0.25">
      <c r="AY996" s="12"/>
    </row>
    <row r="997" spans="51:51" ht="13.2" x14ac:dyDescent="0.25">
      <c r="AY997" s="12"/>
    </row>
    <row r="998" spans="51:51" ht="13.2" x14ac:dyDescent="0.25">
      <c r="AY998" s="12"/>
    </row>
    <row r="999" spans="51:51" ht="13.2" x14ac:dyDescent="0.25">
      <c r="AY999" s="12"/>
    </row>
    <row r="1000" spans="51:51" ht="13.2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PY</vt:lpstr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Graciela Caruso</cp:lastModifiedBy>
  <dcterms:modified xsi:type="dcterms:W3CDTF">2025-06-09T22:51:31Z</dcterms:modified>
</cp:coreProperties>
</file>